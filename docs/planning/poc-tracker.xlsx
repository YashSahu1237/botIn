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Summary" sheetId="1" state="visible" r:id="rId1"/>
    <sheet xmlns:r="http://schemas.openxmlformats.org/officeDocument/2006/relationships" name="Next up" sheetId="2" state="visible" r:id="rId2"/>
    <sheet xmlns:r="http://schemas.openxmlformats.org/officeDocument/2006/relationships" name="Parked" sheetId="3" state="visible" r:id="rId3"/>
    <sheet xmlns:r="http://schemas.openxmlformats.org/officeDocument/2006/relationships" name="Steps" sheetId="4" state="visible" r:id="rId4"/>
    <sheet xmlns:r="http://schemas.openxmlformats.org/officeDocument/2006/relationships" name="Evidence" sheetId="5" state="visible" r:id="rId5"/>
  </sheets>
  <definedNames>
    <definedName name="_xlnm._FilterDatabase" localSheetId="3" hidden="1">'Steps'!$A$1:$J$99</definedName>
  </definedNames>
  <calcPr calcId="124519" fullCalcOnLoad="1" refMode="A1" iterate="0" iterateCount="100" iterateDelta="0.0001"/>
</workbook>
</file>

<file path=xl/styles.xml><?xml version="1.0" encoding="utf-8"?>
<styleSheet xmlns="http://schemas.openxmlformats.org/spreadsheetml/2006/main">
  <numFmts count="1">
    <numFmt numFmtId="164" formatCode="0.0%"/>
  </numFmts>
  <fonts count="17">
    <font>
      <name val="Calibri"/>
      <charset val="1"/>
      <family val="2"/>
      <color theme="1"/>
      <sz val="11"/>
    </font>
    <font>
      <name val="Arial"/>
      <family val="0"/>
      <sz val="10"/>
    </font>
    <font>
      <name val="Arial"/>
      <family val="0"/>
      <sz val="10"/>
    </font>
    <font>
      <name val="Arial"/>
      <family val="0"/>
      <sz val="10"/>
    </font>
    <font>
      <name val="Arial"/>
      <charset val="1"/>
      <family val="0"/>
      <b val="1"/>
      <color rgb="FF2F4468"/>
      <sz val="16"/>
    </font>
    <font>
      <name val="Arial"/>
      <charset val="1"/>
      <family val="0"/>
      <i val="1"/>
      <color rgb="FF595959"/>
      <sz val="9"/>
    </font>
    <font>
      <name val="Arial"/>
      <charset val="1"/>
      <family val="0"/>
      <b val="1"/>
      <color rgb="FF1A7550"/>
      <sz val="10"/>
    </font>
    <font>
      <name val="Arial"/>
      <charset val="1"/>
      <family val="0"/>
      <b val="1"/>
      <color rgb="FFFFFFFF"/>
      <sz val="10"/>
    </font>
    <font>
      <name val="Arial"/>
      <charset val="1"/>
      <family val="0"/>
      <color rgb="FF000000"/>
      <sz val="10"/>
    </font>
    <font>
      <name val="Arial"/>
      <charset val="1"/>
      <family val="0"/>
      <b val="1"/>
      <color rgb="FF000000"/>
      <sz val="10"/>
    </font>
    <font>
      <name val="Arial"/>
      <charset val="1"/>
      <family val="0"/>
      <b val="1"/>
      <color rgb="FF000000"/>
      <sz val="11"/>
    </font>
    <font>
      <name val="Arial"/>
      <charset val="1"/>
      <family val="0"/>
      <b val="1"/>
      <color rgb="FF1A7550"/>
      <sz val="11"/>
    </font>
    <font>
      <name val="Arial"/>
      <charset val="1"/>
      <family val="0"/>
      <color rgb="FF595959"/>
      <sz val="9"/>
    </font>
    <font>
      <name val="Arial"/>
      <charset val="1"/>
      <family val="0"/>
      <b val="1"/>
      <color rgb="FF2F4468"/>
      <sz val="11"/>
    </font>
    <font>
      <name val="Arial"/>
      <charset val="1"/>
      <family val="0"/>
      <b val="1"/>
      <color rgb="FF9A560B"/>
      <sz val="10"/>
    </font>
    <font>
      <name val="Arial"/>
      <charset val="1"/>
      <family val="0"/>
      <b val="1"/>
      <color rgb="FFA93A38"/>
      <sz val="10"/>
    </font>
    <font>
      <b val="1"/>
      <color rgb="00FFFFFF"/>
    </font>
  </fonts>
  <fills count="6">
    <fill>
      <patternFill/>
    </fill>
    <fill>
      <patternFill patternType="gray125"/>
    </fill>
    <fill>
      <patternFill patternType="solid">
        <fgColor rgb="FF2F4468"/>
        <bgColor rgb="FF333333"/>
      </patternFill>
    </fill>
    <fill>
      <patternFill patternType="solid">
        <fgColor rgb="FFEAEEF5"/>
        <bgColor rgb="FFE6ECF7"/>
      </patternFill>
    </fill>
    <fill>
      <patternFill patternType="solid">
        <fgColor rgb="FF1A7550"/>
        <bgColor rgb="FF008080"/>
      </patternFill>
    </fill>
    <fill>
      <patternFill patternType="solid">
        <fgColor rgb="00333333"/>
      </patternFill>
    </fill>
  </fills>
  <borders count="2">
    <border>
      <left/>
      <right/>
      <top/>
      <bottom/>
      <diagonal/>
    </border>
    <border>
      <left/>
      <right/>
      <top/>
      <bottom style="thin">
        <color rgb="FFD9D9D9"/>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49">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7" fillId="2" borderId="0" applyAlignment="1" pivotButton="0" quotePrefix="0" xfId="0">
      <alignment horizontal="general" vertical="bottom"/>
    </xf>
    <xf numFmtId="0" fontId="8" fillId="0" borderId="0" applyAlignment="1" pivotButton="0" quotePrefix="0" xfId="0">
      <alignment horizontal="general" vertical="center"/>
    </xf>
    <xf numFmtId="0" fontId="8" fillId="0" borderId="0" applyAlignment="1" pivotButton="0" quotePrefix="0" xfId="0">
      <alignment horizontal="general" vertical="center" wrapText="1"/>
    </xf>
    <xf numFmtId="0" fontId="9" fillId="3" borderId="0" applyAlignment="1" pivotButton="0" quotePrefix="0" xfId="0">
      <alignment horizontal="general" vertical="center"/>
    </xf>
    <xf numFmtId="0" fontId="9" fillId="3" borderId="0" applyAlignment="1" pivotButton="0" quotePrefix="0" xfId="0">
      <alignment horizontal="general" vertical="center" wrapText="1"/>
    </xf>
    <xf numFmtId="0" fontId="10" fillId="0" borderId="0" applyAlignment="1" pivotButton="0" quotePrefix="0" xfId="0">
      <alignment horizontal="general" vertical="bottom"/>
    </xf>
    <xf numFmtId="164" fontId="11" fillId="0" borderId="0" applyAlignment="1" pivotButton="0" quotePrefix="0" xfId="0">
      <alignment horizontal="general" vertical="bottom"/>
    </xf>
    <xf numFmtId="0" fontId="12" fillId="0" borderId="0" applyAlignment="1" pivotButton="0" quotePrefix="0" xfId="0">
      <alignment horizontal="general" vertical="bottom"/>
    </xf>
    <xf numFmtId="164" fontId="13" fillId="0" borderId="0" applyAlignment="1" pivotButton="0" quotePrefix="0" xfId="0">
      <alignment horizontal="general" vertical="bottom"/>
    </xf>
    <xf numFmtId="0" fontId="7" fillId="4" borderId="0" applyAlignment="1" pivotButton="0" quotePrefix="0" xfId="0">
      <alignment horizontal="general" vertical="bottom"/>
    </xf>
    <xf numFmtId="0" fontId="8" fillId="0" borderId="1" applyAlignment="1" pivotButton="0" quotePrefix="0" xfId="0">
      <alignment horizontal="general" vertical="top" wrapText="1"/>
    </xf>
    <xf numFmtId="0" fontId="8" fillId="0" borderId="1" applyAlignment="1" pivotButton="0" quotePrefix="0" xfId="0">
      <alignment horizontal="center" vertical="top"/>
    </xf>
    <xf numFmtId="0" fontId="12" fillId="0" borderId="1" applyAlignment="1" pivotButton="0" quotePrefix="0" xfId="0">
      <alignment horizontal="general" vertical="top" wrapText="1"/>
    </xf>
    <xf numFmtId="0" fontId="9" fillId="0" borderId="1" applyAlignment="1" pivotButton="0" quotePrefix="0" xfId="0">
      <alignment horizontal="general" vertical="top" wrapText="1"/>
    </xf>
    <xf numFmtId="0" fontId="14" fillId="0" borderId="1" applyAlignment="1" pivotButton="0" quotePrefix="0" xfId="0">
      <alignment horizontal="general" vertical="top" wrapText="1"/>
    </xf>
    <xf numFmtId="0" fontId="6" fillId="0" borderId="1" applyAlignment="1" pivotButton="0" quotePrefix="0" xfId="0">
      <alignment horizontal="general" vertical="top" wrapText="1"/>
    </xf>
    <xf numFmtId="0" fontId="15" fillId="0" borderId="1"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7" fillId="2" borderId="0" applyAlignment="1" pivotButton="0" quotePrefix="0" xfId="0">
      <alignment horizontal="general" vertical="bottom"/>
    </xf>
    <xf numFmtId="0" fontId="8" fillId="0" borderId="0" applyAlignment="1" pivotButton="0" quotePrefix="0" xfId="0">
      <alignment horizontal="general" vertical="center"/>
    </xf>
    <xf numFmtId="0" fontId="8" fillId="0" borderId="0" applyAlignment="1" pivotButton="0" quotePrefix="0" xfId="0">
      <alignment horizontal="general" vertical="center" wrapText="1"/>
    </xf>
    <xf numFmtId="0" fontId="9" fillId="3" borderId="0" applyAlignment="1" pivotButton="0" quotePrefix="0" xfId="0">
      <alignment horizontal="general" vertical="center"/>
    </xf>
    <xf numFmtId="0" fontId="9" fillId="3" borderId="0" applyAlignment="1" pivotButton="0" quotePrefix="0" xfId="0">
      <alignment horizontal="general" vertical="center" wrapText="1"/>
    </xf>
    <xf numFmtId="0" fontId="10" fillId="0" borderId="0" applyAlignment="1" pivotButton="0" quotePrefix="0" xfId="0">
      <alignment horizontal="general" vertical="bottom"/>
    </xf>
    <xf numFmtId="164" fontId="11" fillId="0" borderId="0" applyAlignment="1" pivotButton="0" quotePrefix="0" xfId="0">
      <alignment horizontal="general" vertical="bottom"/>
    </xf>
    <xf numFmtId="0" fontId="12" fillId="0" borderId="0" applyAlignment="1" pivotButton="0" quotePrefix="0" xfId="0">
      <alignment horizontal="general" vertical="bottom"/>
    </xf>
    <xf numFmtId="164" fontId="13" fillId="0" borderId="0" applyAlignment="1" pivotButton="0" quotePrefix="0" xfId="0">
      <alignment horizontal="general" vertical="bottom"/>
    </xf>
    <xf numFmtId="0" fontId="7" fillId="4" borderId="0" applyAlignment="1" pivotButton="0" quotePrefix="0" xfId="0">
      <alignment horizontal="general" vertical="bottom"/>
    </xf>
    <xf numFmtId="0" fontId="8" fillId="0" borderId="1" applyAlignment="1" pivotButton="0" quotePrefix="0" xfId="0">
      <alignment horizontal="general" vertical="top" wrapText="1"/>
    </xf>
    <xf numFmtId="0" fontId="8" fillId="0" borderId="1" applyAlignment="1" pivotButton="0" quotePrefix="0" xfId="0">
      <alignment horizontal="center" vertical="top"/>
    </xf>
    <xf numFmtId="0" fontId="12" fillId="0" borderId="1" applyAlignment="1" pivotButton="0" quotePrefix="0" xfId="0">
      <alignment horizontal="general" vertical="top" wrapText="1"/>
    </xf>
    <xf numFmtId="0" fontId="9" fillId="0" borderId="1" applyAlignment="1" pivotButton="0" quotePrefix="0" xfId="0">
      <alignment horizontal="general" vertical="top" wrapText="1"/>
    </xf>
    <xf numFmtId="0" fontId="14" fillId="0" borderId="1" applyAlignment="1" pivotButton="0" quotePrefix="0" xfId="0">
      <alignment horizontal="general" vertical="top" wrapText="1"/>
    </xf>
    <xf numFmtId="0" fontId="6" fillId="0" borderId="1" applyAlignment="1" pivotButton="0" quotePrefix="0" xfId="0">
      <alignment horizontal="general" vertical="top" wrapText="1"/>
    </xf>
    <xf numFmtId="0" fontId="15" fillId="0" borderId="1" applyAlignment="1" pivotButton="0" quotePrefix="0" xfId="0">
      <alignment horizontal="general" vertical="top" wrapText="1"/>
    </xf>
    <xf numFmtId="0" fontId="0" fillId="0" borderId="0" applyAlignment="1" pivotButton="0" quotePrefix="0" xfId="0">
      <alignment vertical="top" wrapText="1"/>
    </xf>
    <xf numFmtId="0" fontId="8" fillId="0" borderId="1" applyAlignment="1" pivotButton="0" quotePrefix="0" xfId="0">
      <alignment vertical="top" wrapText="1"/>
    </xf>
    <xf numFmtId="0" fontId="16" fillId="5" borderId="0" applyAlignment="1" pivotButton="0" quotePrefix="0" xfId="0">
      <alignment vertical="top" wrapText="1"/>
    </xf>
    <xf numFmtId="0" fontId="10" fillId="0" borderId="0" pivotButton="0" quotePrefix="0" xfId="0"/>
    <xf numFmtId="164" fontId="11" fillId="0" borderId="0" pivotButton="0" quotePrefix="0" xfId="0"/>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4">
    <dxf>
      <fill>
        <patternFill patternType="solid">
          <fgColor rgb="FF2F4468"/>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595959"/>
          <bgColor rgb="FF000000"/>
        </patternFill>
      </fill>
    </dxf>
    <dxf>
      <fill>
        <patternFill patternType="solid">
          <fgColor rgb="FF9A560B"/>
          <bgColor rgb="FF000000"/>
        </patternFill>
      </fill>
    </dxf>
    <dxf>
      <fill>
        <patternFill patternType="solid">
          <fgColor rgb="FFD6EFDC"/>
          <bgColor rgb="FF000000"/>
        </patternFill>
      </fill>
    </dxf>
    <dxf>
      <fill>
        <patternFill patternType="solid">
          <fgColor rgb="FFFBE0DE"/>
          <bgColor rgb="FF000000"/>
        </patternFill>
      </fill>
    </dxf>
    <dxf>
      <fill>
        <patternFill patternType="solid">
          <fgColor rgb="FF1A7550"/>
          <bgColor rgb="FF000000"/>
        </patternFill>
      </fill>
    </dxf>
    <dxf>
      <fill>
        <patternFill patternType="solid">
          <fgColor rgb="FFA93A38"/>
          <bgColor rgb="FF000000"/>
        </patternFill>
      </fill>
    </dxf>
    <dxf>
      <font>
        <name val="Arial"/>
        <charset val="1"/>
        <family val="0"/>
        <b val="1"/>
        <color rgb="FF1A7550"/>
        <sz val="10"/>
      </font>
      <fill>
        <patternFill>
          <bgColor rgb="FFD6EFDC"/>
        </patternFill>
      </fill>
    </dxf>
    <dxf>
      <font>
        <name val="Arial"/>
        <charset val="1"/>
        <family val="0"/>
        <b val="1"/>
        <color rgb="FF2F4468"/>
        <sz val="10"/>
      </font>
      <fill>
        <patternFill>
          <bgColor rgb="FFE6ECF7"/>
        </patternFill>
      </fill>
    </dxf>
    <dxf>
      <font>
        <name val="Arial"/>
        <charset val="1"/>
        <family val="0"/>
        <b val="1"/>
        <color rgb="FFA93A38"/>
        <sz val="10"/>
      </font>
      <fill>
        <patternFill>
          <bgColor rgb="FFFBE0DE"/>
        </patternFill>
      </fill>
    </dxf>
    <dxf>
      <font>
        <name val="Arial"/>
        <charset val="1"/>
        <family val="0"/>
        <b val="1"/>
        <color rgb="FF9A560B"/>
        <sz val="10"/>
      </font>
      <fill>
        <patternFill>
          <bgColor rgb="FFFBF0E4"/>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1A7550"/>
      <rgbColor rgb="FFC0C0C0"/>
      <rgbColor rgb="FF808080"/>
      <rgbColor rgb="FF9999FF"/>
      <rgbColor rgb="FFA93A38"/>
      <rgbColor rgb="FFFBF0E4"/>
      <rgbColor rgb="FFE6ECF7"/>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EAEEF5"/>
      <rgbColor rgb="FFD6EFDC"/>
      <rgbColor rgb="FFFFFF99"/>
      <rgbColor rgb="FF99CCFF"/>
      <rgbColor rgb="FFFF99CC"/>
      <rgbColor rgb="FFCC99FF"/>
      <rgbColor rgb="FFFBE0DE"/>
      <rgbColor rgb="FF3366FF"/>
      <rgbColor rgb="FF33CCCC"/>
      <rgbColor rgb="FF99CC00"/>
      <rgbColor rgb="FFFFCC00"/>
      <rgbColor rgb="FFFF9900"/>
      <rgbColor rgb="FFFF6600"/>
      <rgbColor rgb="FF595959"/>
      <rgbColor rgb="FF969696"/>
      <rgbColor rgb="FF003366"/>
      <rgbColor rgb="FF339966"/>
      <rgbColor rgb="FF003300"/>
      <rgbColor rgb="FF333300"/>
      <rgbColor rgb="FF9A560B"/>
      <rgbColor rgb="FF993366"/>
      <rgbColor rgb="FF2F4468"/>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J12"/>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6" customWidth="1" style="22" min="1" max="1"/>
    <col width="13" customWidth="1" style="22" min="2" max="7"/>
    <col width="56" customWidth="1" style="22" min="8" max="8"/>
    <col width="13" customWidth="1" style="23" min="9" max="9"/>
  </cols>
  <sheetData>
    <row r="1" ht="19.5" customHeight="1" s="23">
      <c r="A1" s="24" t="inlineStr">
        <is>
          <t>BOTIn POC — where we are</t>
        </is>
      </c>
    </row>
    <row r="2" ht="15" customHeight="1" s="23">
      <c r="A2" s="25" t="inlineStr">
        <is>
          <t>Formulas over the Steps tab. Change a Status there and everything here updates. Statuses in use: Done · In progress · Not started · Blocked (waiting on somebody) · Parked (deliberately deferred — the Parked tab says what unparks each) · Out of scope (removed from the POC by decision — not waiting on anybody).</t>
        </is>
      </c>
    </row>
    <row r="3" ht="15" customHeight="1" s="23">
      <c r="A3" s="26" t="inlineStr">
        <is>
          <t>TARGET: a working chatbot POC — L1 → L2 → resolution, API-driven, every tier and outcome type.</t>
        </is>
      </c>
    </row>
    <row r="5" ht="15" customHeight="1" s="23">
      <c r="A5" s="27" t="inlineStr">
        <is>
          <t>Track</t>
        </is>
      </c>
      <c r="B5" s="27" t="inlineStr">
        <is>
          <t>Total</t>
        </is>
      </c>
      <c r="C5" s="27" t="inlineStr">
        <is>
          <t>Done</t>
        </is>
      </c>
      <c r="D5" s="27" t="inlineStr">
        <is>
          <t>Delivered</t>
        </is>
      </c>
      <c r="E5" s="27" t="inlineStr">
        <is>
          <t>In progress</t>
        </is>
      </c>
      <c r="F5" s="27" t="inlineStr">
        <is>
          <t>Blocked</t>
        </is>
      </c>
      <c r="G5" s="27" t="inlineStr">
        <is>
          <t>Parked</t>
        </is>
      </c>
      <c r="H5" s="27" t="inlineStr">
        <is>
          <t>Not started</t>
        </is>
      </c>
      <c r="I5" s="27" t="inlineStr">
        <is>
          <t>Out of scope</t>
        </is>
      </c>
      <c r="J5" s="27" t="inlineStr">
        <is>
          <t>Where it stands</t>
        </is>
      </c>
    </row>
    <row r="6" ht="15" customHeight="1" s="23">
      <c r="A6" s="28" t="inlineStr">
        <is>
          <t>R&amp;D ladder</t>
        </is>
      </c>
      <c r="B6" s="28">
        <f>COUNTIF(Steps!$B$2:$B$99,$A6)</f>
        <v/>
      </c>
      <c r="C6" s="28">
        <f>COUNTIFS(Steps!$B$2:$B$99,$A6,Steps!$G$2:$G$99,"Done")</f>
        <v/>
      </c>
      <c r="D6" s="28">
        <f>COUNTIFS(Steps!$B$2:$B$99,$A6,Steps!$G$2:$G$99,"Delivered")</f>
        <v/>
      </c>
      <c r="E6" s="28">
        <f>COUNTIFS(Steps!$B$2:$B$99,$A6,Steps!$G$2:$G$99,"In progress")</f>
        <v/>
      </c>
      <c r="F6" s="28">
        <f>COUNTIFS(Steps!$B$2:$B$99,$A6,Steps!$G$2:$G$99,"Blocked")</f>
        <v/>
      </c>
      <c r="G6" s="28">
        <f>COUNTIFS(Steps!$B$2:$B$99,$A6,Steps!$G$2:$G$99,"Parked")</f>
        <v/>
      </c>
      <c r="H6" s="28">
        <f>COUNTIFS(Steps!$B$2:$B$99,$A6,Steps!$G$2:$G$99,"Not started")</f>
        <v/>
      </c>
      <c r="I6" s="28">
        <f>COUNTIFS(Steps!$B$2:$B$99,$A6,Steps!$G$2:$G$99,"Out of scope")</f>
        <v/>
      </c>
      <c r="J6" s="29" t="inlineStr">
        <is>
          <t>COMPLETE. Six spikes, all green. Both go/no-go gates passed.</t>
        </is>
      </c>
    </row>
    <row r="7" ht="23.25" customHeight="1" s="23">
      <c r="A7" s="28" t="inlineStr">
        <is>
          <t>Build</t>
        </is>
      </c>
      <c r="B7" s="28">
        <f>COUNTIF(Steps!$B$2:$B$99,$A7)</f>
        <v/>
      </c>
      <c r="C7" s="28">
        <f>COUNTIFS(Steps!$B$2:$B$99,$A7,Steps!$G$2:$G$99,"Done")</f>
        <v/>
      </c>
      <c r="D7" s="28">
        <f>COUNTIFS(Steps!$B$2:$B$99,$A7,Steps!$G$2:$G$99,"Delivered")</f>
        <v/>
      </c>
      <c r="E7" s="28">
        <f>COUNTIFS(Steps!$B$2:$B$99,$A7,Steps!$G$2:$G$99,"In progress")</f>
        <v/>
      </c>
      <c r="F7" s="28">
        <f>COUNTIFS(Steps!$B$2:$B$99,$A7,Steps!$G$2:$G$99,"Blocked")</f>
        <v/>
      </c>
      <c r="G7" s="28">
        <f>COUNTIFS(Steps!$B$2:$B$99,$A7,Steps!$G$2:$G$99,"Parked")</f>
        <v/>
      </c>
      <c r="H7" s="28">
        <f>COUNTIFS(Steps!$B$2:$B$99,$A7,Steps!$G$2:$G$99,"Not started")</f>
        <v/>
      </c>
      <c r="I7" s="28">
        <f>COUNTIFS(Steps!$B$2:$B$99,$A7,Steps!$G$2:$G$99,"Out of scope")</f>
        <v/>
      </c>
      <c r="J7" s="29" t="inlineStr">
        <is>
          <t>Phases 1-5 and 9-13 done. THE POC IS COMPLETE: 199+ tests green and the demo script runs 27/27 against a live service. docs/POC-ASSESSMENT.md carries the five answers and the verdict (GO, with two conditions). Remaining Build steps: the reconciliation job (61) and reading demo numbers (81). Phase 6/7 Transport and Phase 8 Violations are PARKED — see the Parked tab.</t>
        </is>
      </c>
    </row>
    <row r="8" ht="23.25" customHeight="1" s="23">
      <c r="A8" s="28" t="inlineStr">
        <is>
          <t>LLM track</t>
        </is>
      </c>
      <c r="B8" s="28">
        <f>COUNTIF(Steps!$B$2:$B$99,$A8)</f>
        <v/>
      </c>
      <c r="C8" s="28">
        <f>COUNTIFS(Steps!$B$2:$B$99,$A8,Steps!$G$2:$G$99,"Done")</f>
        <v/>
      </c>
      <c r="D8" s="28">
        <f>COUNTIFS(Steps!$B$2:$B$99,$A8,Steps!$G$2:$G$99,"Delivered")</f>
        <v/>
      </c>
      <c r="E8" s="28">
        <f>COUNTIFS(Steps!$B$2:$B$99,$A8,Steps!$G$2:$G$99,"In progress")</f>
        <v/>
      </c>
      <c r="F8" s="28">
        <f>COUNTIFS(Steps!$B$2:$B$99,$A8,Steps!$G$2:$G$99,"Blocked")</f>
        <v/>
      </c>
      <c r="G8" s="28">
        <f>COUNTIFS(Steps!$B$2:$B$99,$A8,Steps!$G$2:$G$99,"Parked")</f>
        <v/>
      </c>
      <c r="H8" s="28">
        <f>COUNTIFS(Steps!$B$2:$B$99,$A8,Steps!$G$2:$G$99,"Not started")</f>
        <v/>
      </c>
      <c r="I8" s="28">
        <f>COUNTIFS(Steps!$B$2:$B$99,$A8,Steps!$G$2:$G$99,"Out of scope")</f>
        <v/>
      </c>
      <c r="J8" s="29" t="inlineStr">
        <is>
          <t>Blocked on procurement and real ticket text. Steps 7-9 need nobody and can start any time.</t>
        </is>
      </c>
    </row>
    <row r="9" ht="15" customHeight="1" s="23">
      <c r="A9" s="30" t="inlineStr">
        <is>
          <t>TOTAL</t>
        </is>
      </c>
      <c r="B9" s="30">
        <f>SUM(B6:B8)</f>
        <v/>
      </c>
      <c r="C9" s="30">
        <f>SUM(C6:C8)</f>
        <v/>
      </c>
      <c r="D9" s="30">
        <f>SUM(D6:D8)</f>
        <v/>
      </c>
      <c r="E9" s="30">
        <f>SUM(E6:E8)</f>
        <v/>
      </c>
      <c r="F9" s="30">
        <f>SUM(F6:F8)</f>
        <v/>
      </c>
      <c r="G9" s="30">
        <f>SUM(G6:G8)</f>
        <v/>
      </c>
      <c r="H9" s="30">
        <f>SUM(H6:H8)</f>
        <v/>
      </c>
      <c r="I9" s="30">
        <f>SUM(I6:I8)</f>
        <v/>
      </c>
      <c r="J9" s="31" t="n"/>
    </row>
    <row r="11" ht="15" customHeight="1" s="23">
      <c r="A11" s="32" t="inlineStr">
        <is>
          <t>Complete</t>
        </is>
      </c>
      <c r="B11" s="33">
        <f>IFERROR(C9/B9,0)</f>
        <v/>
      </c>
      <c r="C11" s="34" t="inlineStr">
        <is>
          <t>Done + Delivered</t>
        </is>
      </c>
      <c r="D11" s="35">
        <f>IFERROR((C9+D9)/B9,0)</f>
        <v/>
      </c>
    </row>
    <row r="12">
      <c r="A12" s="47" t="inlineStr">
        <is>
          <t>Complete (in scope)</t>
        </is>
      </c>
      <c r="B12" s="48">
        <f>IFERROR(C9/(B9-I9),0)</f>
        <v/>
      </c>
      <c r="C12" s="22" t="inlineStr">
        <is>
          <t>Out-of-scope steps excluded from the denominator</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D14"/>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2" customWidth="1" style="22" min="1" max="1"/>
    <col width="50" customWidth="1" style="22" min="2" max="2"/>
    <col width="14" customWidth="1" style="22" min="3" max="3"/>
    <col width="80" customWidth="1" style="22" min="4" max="4"/>
  </cols>
  <sheetData>
    <row r="1" ht="15" customHeight="1" s="23">
      <c r="A1" s="36" t="inlineStr">
        <is>
          <t>Step</t>
        </is>
      </c>
      <c r="B1" s="36" t="inlineStr">
        <is>
          <t>What</t>
        </is>
      </c>
      <c r="C1" s="36" t="inlineStr">
        <is>
          <t>Who</t>
        </is>
      </c>
      <c r="D1" s="36" t="inlineStr">
        <is>
          <t>Note</t>
        </is>
      </c>
    </row>
    <row r="2" ht="15" customHeight="1" s="23">
      <c r="A2" t="inlineStr">
        <is>
          <t>—</t>
        </is>
      </c>
      <c r="B2" t="inlineStr">
        <is>
          <t>RUN tools/uat-probe-2.sql and uat-probe-3.sql</t>
        </is>
      </c>
      <c r="C2" t="inlineStr">
        <is>
          <t>You</t>
        </is>
      </c>
      <c r="D2" t="inlineStr">
        <is>
          <t>Closes four open items in one pass: the two wrong column names, paise-vs-rupees on transport_charges, N3 (the PayU link) and N2 (the order_status_code values). Command is in docs/WALKTHROUGH-NOTES.md §8.</t>
        </is>
      </c>
    </row>
    <row r="3" ht="15" customHeight="1" s="23">
      <c r="A3" t="inlineStr">
        <is>
          <t>—</t>
        </is>
      </c>
      <c r="B3" t="inlineStr">
        <is>
          <t>FIX the two wrong column names once probe 2 lands</t>
        </is>
      </c>
      <c r="C3" t="inlineStr">
        <is>
          <t>Me</t>
        </is>
      </c>
      <c r="D3" t="inlineStr">
        <is>
          <t>arrived_at300_m and order_type do not exist. MySQL 1054 kills the WHOLE Transport SELECT, so on real data Transport does not degrade - it stops. Flip both requiredColumns markers from inferred to confirmed in the same edit.</t>
        </is>
      </c>
    </row>
    <row r="4" ht="15" customHeight="1" s="23">
      <c r="A4" t="inlineStr">
        <is>
          <t>55</t>
        </is>
      </c>
      <c r="B4" t="inlineStr">
        <is>
          <t>BUILD the transport credit service</t>
        </is>
      </c>
      <c r="C4" t="inlineStr">
        <is>
          <t>Me</t>
        </is>
      </c>
      <c r="D4" t="inlineStr">
        <is>
          <t>ActionRegistry holds only AUTO_CREDIT_WALLET, so every transport T2 decides correctly then escalates. This is the difference between a demo where the bot explains what it would do and one where it moves money.</t>
        </is>
      </c>
    </row>
    <row r="5" ht="15" customHeight="1" s="23">
      <c r="A5" t="inlineStr">
        <is>
          <t>—</t>
        </is>
      </c>
      <c r="B5" t="inlineStr">
        <is>
          <t>WIRE the job lat/long behind cs_address (Q6)</t>
        </is>
      </c>
      <c r="C5" t="inlineStr">
        <is>
          <t>Me</t>
        </is>
      </c>
      <c r="D5" t="inlineStr">
        <is>
          <t>Path 3 distance is null, so transport rules 8 and 9 are dead.</t>
        </is>
      </c>
    </row>
    <row r="6" ht="15" customHeight="1" s="23">
      <c r="A6" s="22" t="inlineStr">
        <is>
          <t>—</t>
        </is>
      </c>
      <c r="B6" s="22" t="inlineStr">
        <is>
          <t>N4 — the SELECT-only GRANT on all three catalogs</t>
        </is>
      </c>
      <c r="C6" s="22" t="inlineStr">
        <is>
          <t>You</t>
        </is>
      </c>
      <c r="D6" s="22" t="inlineStr">
        <is>
          <t>IN PROGRESS, creds requested 15 Sept. 15 of 26 rules cannot read their facts without it. Confirm all three catalogs are on ONE MySQL host.</t>
        </is>
      </c>
    </row>
    <row r="7" ht="15" customHeight="1" s="23">
      <c r="A7" s="22" t="inlineStr">
        <is>
          <t>—</t>
        </is>
      </c>
      <c r="B7" s="22" t="inlineStr">
        <is>
          <t>N2 — which unassign_status_code value is NR, and which is CR</t>
        </is>
      </c>
      <c r="C7" s="22" t="inlineStr">
        <is>
          <t>You</t>
        </is>
      </c>
      <c r="D7" s="22" t="inlineStr">
        <is>
          <t>BLOCKS transport rules 5a/5b, 6, 7. NR auto-credits and CR denies, so a wrong mapping pays the wrong partners.</t>
        </is>
      </c>
    </row>
    <row r="8" ht="15" customHeight="1" s="23">
      <c r="A8" s="22" t="inlineStr">
        <is>
          <t>—</t>
        </is>
      </c>
      <c r="B8" s="22" t="inlineStr">
        <is>
          <t>N3 — which column links a wallet credit to a PayU transaction</t>
        </is>
      </c>
      <c r="C8" s="22" t="inlineStr">
        <is>
          <t>You</t>
        </is>
      </c>
      <c r="D8" s="22" t="inlineStr">
        <is>
          <t>BLOCKS alreadyCredited on Recharge. A wrong "not yet credited" pays twice.</t>
        </is>
      </c>
    </row>
    <row r="9">
      <c r="A9" s="22" t="inlineStr">
        <is>
          <t>—</t>
        </is>
      </c>
      <c r="B9" s="22" t="inlineStr">
        <is>
          <t>DECISION: UPHOLD in the demo, or ship 4 of 5 outcome types?</t>
        </is>
      </c>
      <c r="C9" s="22" t="inlineStr">
        <is>
          <t>You</t>
        </is>
      </c>
      <c r="D9" s="22" t="inlineStr">
        <is>
          <t>Violations are out of scope, and UPHOLD went with them. VIOL_T1_SAMEDAY_LEAVE (SP_102, exists, needs no blocked answer) restores it for one concern. See docs/SCOPE-VIOLATIONS-OUT.md.</t>
        </is>
      </c>
    </row>
    <row r="10">
      <c r="A10" s="22" t="inlineStr">
        <is>
          <t>—</t>
        </is>
      </c>
      <c r="B10" s="22" t="inlineStr">
        <is>
          <t>Partial-kilometre rounding — prorate, round up, or round down?</t>
        </is>
      </c>
      <c r="C10" s="22" t="inlineStr">
        <is>
          <t>You</t>
        </is>
      </c>
      <c r="D10" s="22" t="inlineStr">
        <is>
          <t>The Decision Matrix marks it OPEN. The code prorates, because that is the only one of the three that invents nothing.</t>
        </is>
      </c>
    </row>
    <row r="11">
      <c r="A11" s="22" t="inlineStr">
        <is>
          <t>—</t>
        </is>
      </c>
      <c r="B11" s="22" t="inlineStr">
        <is>
          <t>D-1 — hosting</t>
        </is>
      </c>
      <c r="C11" s="22" t="inlineStr">
        <is>
          <t>You</t>
        </is>
      </c>
      <c r="D11" s="22" t="inlineStr">
        <is>
          <t>The Decision Brief lists it open; the Engineering Design states it settled. They disagree.</t>
        </is>
      </c>
    </row>
    <row r="12">
      <c r="A12" s="22" t="inlineStr">
        <is>
          <t>—</t>
        </is>
      </c>
      <c r="B12" s="22" t="inlineStr">
        <is>
          <t>Job lat/long behind cs_address (Q6) — wire it</t>
        </is>
      </c>
      <c r="C12" s="22" t="inlineStr">
        <is>
          <t>Me</t>
        </is>
      </c>
      <c r="D12" s="22" t="inlineStr">
        <is>
          <t>Answered by the Decision Matrix: the job location is the CUSTOMER address, not tbl_order. Needed for Transport Path 3.</t>
        </is>
      </c>
    </row>
    <row r="13">
      <c r="A13" s="22" t="inlineStr">
        <is>
          <t>81</t>
        </is>
      </c>
      <c r="B13" s="22" t="inlineStr">
        <is>
          <t>CSAT and trigger-A rates from a demo run with real volume</t>
        </is>
      </c>
      <c r="C13" s="22" t="inlineStr">
        <is>
          <t>Me</t>
        </is>
      </c>
      <c r="D13" s="22" t="inlineStr">
        <is>
          <t>The one step not started. Needs a demo run with enough sessions to produce a rate rather than an anecdote.</t>
        </is>
      </c>
    </row>
    <row r="14">
      <c r="A14" s="22" t="inlineStr">
        <is>
          <t>10-11, 15-22</t>
        </is>
      </c>
      <c r="B14" s="22" t="inlineStr">
        <is>
          <t>LLM measurement track</t>
        </is>
      </c>
      <c r="C14" s="22" t="inlineStr">
        <is>
          <t>Procurement</t>
        </is>
      </c>
      <c r="D14" s="22" t="inlineStr">
        <is>
          <t>Needs an API key and 150-200 labelled real Hinglish messages. Steps 7-9 and 12-14 are done and need nobody.</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28" customWidth="1" style="23" min="1" max="1"/>
    <col width="12" customWidth="1" style="23" min="2" max="2"/>
    <col width="62" customWidth="1" style="23" min="3" max="3"/>
    <col width="55" customWidth="1" style="23" min="4" max="4"/>
    <col width="18" customWidth="1" style="23" min="5" max="5"/>
    <col width="50" customWidth="1" style="23" min="6" max="6"/>
  </cols>
  <sheetData>
    <row r="1">
      <c r="A1" s="46" t="inlineStr">
        <is>
          <t>What</t>
        </is>
      </c>
      <c r="B1" s="46" t="inlineStr">
        <is>
          <t>Steps</t>
        </is>
      </c>
      <c r="C1" s="46" t="inlineStr">
        <is>
          <t>Why it is parked</t>
        </is>
      </c>
      <c r="D1" s="46" t="inlineStr">
        <is>
          <t>What unparks it</t>
        </is>
      </c>
      <c r="E1" s="46" t="inlineStr">
        <is>
          <t>Who</t>
        </is>
      </c>
      <c r="F1" s="46" t="inlineStr">
        <is>
          <t>What the POC loses meanwhile</t>
        </is>
      </c>
    </row>
    <row r="2" ht="190" customHeight="1" s="23">
      <c r="A2" s="44" t="inlineStr">
        <is>
          <t>Violations — OUT OF POC SCOPE
(not parked)</t>
        </is>
      </c>
      <c r="B2" s="44" t="inlineStr">
        <is>
          <t>62-67</t>
        </is>
      </c>
      <c r="C2" s="44" t="inlineStr">
        <is>
          <t>Removed from the POC on 15 Sept. R1-R13 are sub-reasons under SP_103, but which column holds the sub-reason could not be established, and a query for a column that does not exist returns zero rows - which matched the REMOVE row and would have auto-removed violations never checked. V4 already had both concerns inactive, so nothing in the running service changes.</t>
        </is>
      </c>
      <c r="D2" s="44" t="inlineStr">
        <is>
          <t>Nothing. This is not waiting on anybody. A later violations phase would start from the reasoning in docs/DEFERRED.md D-A.</t>
        </is>
      </c>
      <c r="E2" s="44" t="inlineStr">
        <is>
          <t>—</t>
        </is>
      </c>
      <c r="F2" s="44" t="inlineStr">
        <is>
          <t>No volume: violations carry no June figure, so 9,542 and 7.7% are unchanged. What is lost is outcome-type coverage - UPHOLD, state-change-without-money and the concern-level durable counter, 3 of the 20 coverage-matrix rows. VIOL_T1_SAMEDAY_LEAVE (SP_102, exists, needs no blocked answer) would restore all three.</t>
        </is>
      </c>
    </row>
    <row r="3" ht="190" customHeight="1" s="23">
      <c r="A3" s="44" t="inlineStr">
        <is>
          <t>Phase 6 — Transport end to end</t>
        </is>
      </c>
      <c r="B3" s="44" t="inlineStr">
        <is>
          <t>53-57</t>
        </is>
      </c>
      <c r="C3" s="44" t="inlineStr">
        <is>
          <t>To be done last, by agreement. The rate and the path selector are SETTLED - the Decision Matrix closed D-B and D-C. What is left is N2, the job lat/long behind cs_address, and a mock credit service.</t>
        </is>
      </c>
      <c r="D3" s="44" t="inlineStr">
        <is>
          <t>Answer N2 (which unassign_status_code is NR, which is CR). Then: cs_address wiring and the mock TransportCreditService at step 55.</t>
        </is>
      </c>
      <c r="E3" s="44" t="inlineStr">
        <is>
          <t>Project owner (D-B, D-C), then me</t>
        </is>
      </c>
      <c r="F3" s="44" t="inlineStr">
        <is>
          <t>The highest-volume concern in the build (5,615/month) decides correctly but cannot pay. In the demo it reaches a person instead — which is the true state, not a bug. Cap escalation IS demonstrable, because it produces a ticket rather than a payment.</t>
        </is>
      </c>
    </row>
    <row r="4" ht="190" customHeight="1" s="23">
      <c r="A4" s="44" t="inlineStr">
        <is>
          <t>Phase 7 — the reconciliation job</t>
        </is>
      </c>
      <c r="B4" s="44" t="inlineStr">
        <is>
          <t>61</t>
        </is>
      </c>
      <c r="C4" s="44" t="inlineStr">
        <is>
          <t>BUILT 14 Sept. ReconciliationService reads both directions and corrects nothing; 5 tests green. Row kept for history.</t>
        </is>
      </c>
      <c r="D4" s="44" t="inlineStr">
        <is>
          <t>Done - nothing outstanding.</t>
        </is>
      </c>
      <c r="E4" s="44" t="inlineStr">
        <is>
          <t>Me</t>
        </is>
      </c>
      <c r="F4" s="44" t="inlineStr">
        <is>
          <t>The one check that would catch a payment the system believes it made and did not.</t>
        </is>
      </c>
    </row>
    <row r="5" ht="190" customHeight="1" s="23">
      <c r="A5" s="44" t="inlineStr">
        <is>
          <t>The LLM track</t>
        </is>
      </c>
      <c r="B5" s="44" t="inlineStr">
        <is>
          <t>10-11, 15-22</t>
        </is>
      </c>
      <c r="C5" s="44" t="inlineStr">
        <is>
          <t>No API key and no model decision, so nothing can be measured. Blocked on procurement, not on design.</t>
        </is>
      </c>
      <c r="D5" s="44" t="inlineStr">
        <is>
          <t>A key and a budget owner. Steps 7-9 (task spec, NFRs, PII position) need nobody and can be written at any time.</t>
        </is>
      </c>
      <c r="E5" s="44" t="inlineStr">
        <is>
          <t>Procurement / project owner</t>
        </is>
      </c>
      <c r="F5" s="44" t="inlineStr">
        <is>
          <t>U-2, classifier accuracy, must be reported as NOT ASSESSED and never as passed. Fixtures written by the person building the classifier will always classify well; that is not evidence. The stub is a real bean, so routing, the confidence floor, the clarification loop and the degradation path are all built and demonstrable now.</t>
        </is>
      </c>
    </row>
    <row r="6" ht="190" customHeight="1" s="23">
      <c r="A6" s="44" t="inlineStr">
        <is>
          <t>Agent-connect triggers B, D, E</t>
        </is>
      </c>
      <c r="B6" s="44" t="inlineStr">
        <is>
          <t>—</t>
        </is>
      </c>
      <c r="C6" s="44" t="inlineStr">
        <is>
          <t>Out of POC scope by the plan. Trigger A, the bounding rule and C's confidence threshold are in scope and built.</t>
        </is>
      </c>
      <c r="D6" s="44" t="inlineStr">
        <is>
          <t>Production work. Trigger D in particular needs the shared trigger table from the Engineering Design — it cannot be a column bolted onto each concern's own table without leaving silent holes in the ones that get missed.</t>
        </is>
      </c>
      <c r="E6" s="44" t="inlineStr">
        <is>
          <t>Production phase</t>
        </is>
      </c>
      <c r="F6" s="44" t="inlineStr">
        <is>
          <t>Nothing the POC was meant to answer. Stated here because it is easy to assume present.</t>
        </is>
      </c>
    </row>
  </sheetData>
  <pageMargins left="0.75" right="0.75" top="1" bottom="1" header="0.5" footer="0.5"/>
</worksheet>
</file>

<file path=xl/worksheets/sheet4.xml><?xml version="1.0" encoding="utf-8"?>
<worksheet xmlns="http://schemas.openxmlformats.org/spreadsheetml/2006/main">
  <sheetPr filterMode="0">
    <outlinePr summaryBelow="1" summaryRight="1"/>
    <pageSetUpPr fitToPage="0"/>
  </sheetPr>
  <dimension ref="A1:J101"/>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7" customWidth="1" style="22" min="1" max="1"/>
    <col width="13" customWidth="1" style="22" min="2" max="2"/>
    <col width="30" customWidth="1" style="22" min="3" max="3"/>
    <col width="58" customWidth="1" style="22" min="4" max="4"/>
    <col width="70" customWidth="1" style="22" min="5" max="5"/>
    <col width="15" customWidth="1" style="22" min="6" max="6"/>
    <col width="14" customWidth="1" style="22" min="7" max="7"/>
    <col width="44" customWidth="1" style="22" min="8" max="8"/>
    <col width="12" customWidth="1" style="22" min="9" max="9"/>
    <col width="28" customWidth="1" style="22" min="10" max="10"/>
  </cols>
  <sheetData>
    <row r="1" ht="21.75" customHeight="1" s="23">
      <c r="A1" s="27" t="inlineStr">
        <is>
          <t>Step</t>
        </is>
      </c>
      <c r="B1" s="27" t="inlineStr">
        <is>
          <t>Track</t>
        </is>
      </c>
      <c r="C1" s="27" t="inlineStr">
        <is>
          <t>Phase</t>
        </is>
      </c>
      <c r="D1" s="27" t="inlineStr">
        <is>
          <t>Task</t>
        </is>
      </c>
      <c r="E1" s="27" t="inlineStr">
        <is>
          <t>Detail</t>
        </is>
      </c>
      <c r="F1" s="27" t="inlineStr">
        <is>
          <t>Type</t>
        </is>
      </c>
      <c r="G1" s="27" t="inlineStr">
        <is>
          <t>Status</t>
        </is>
      </c>
      <c r="H1" s="27" t="inlineStr">
        <is>
          <t>Note / blocked by</t>
        </is>
      </c>
      <c r="I1" s="27" t="inlineStr">
        <is>
          <t>Owner</t>
        </is>
      </c>
      <c r="J1" s="27" t="inlineStr">
        <is>
          <t>My notes</t>
        </is>
      </c>
    </row>
    <row r="2" ht="21.75" customHeight="1" s="23">
      <c r="A2" s="38" t="n">
        <v>1</v>
      </c>
      <c r="B2" s="37" t="inlineStr">
        <is>
          <t>R&amp;D ladder</t>
        </is>
      </c>
      <c r="C2" s="37" t="inlineStr">
        <is>
          <t>Component R&amp;D ladder</t>
        </is>
      </c>
      <c r="D2" s="37" t="inlineStr">
        <is>
          <t>Run the Flowable process-engine spike</t>
        </is>
      </c>
      <c r="E2" s="39" t="inlineStr">
        <is>
          <t>Start here — it is the single dependency that could invalidate the architecture, and the one with the steepest learning curve.</t>
        </is>
      </c>
      <c r="F2" s="37" t="inlineStr">
        <is>
          <t>Task</t>
        </is>
      </c>
      <c r="G2" s="37" t="inlineStr">
        <is>
          <t>Done</t>
        </is>
      </c>
      <c r="H2" s="37" t="n"/>
      <c r="I2" s="37" t="n"/>
      <c r="J2" s="37" t="n"/>
    </row>
    <row r="3" ht="15" customHeight="1" s="23">
      <c r="A3" s="38" t="n">
        <v>2</v>
      </c>
      <c r="B3" s="37" t="inlineStr">
        <is>
          <t>R&amp;D ladder</t>
        </is>
      </c>
      <c r="C3" s="37" t="inlineStr">
        <is>
          <t>Component R&amp;D ladder</t>
        </is>
      </c>
      <c r="D3" s="37" t="inlineStr">
        <is>
          <t>Run the DMN spike, including the deliberately-wrong row order</t>
        </is>
      </c>
      <c r="E3" s="39" t="n"/>
      <c r="F3" s="37" t="inlineStr">
        <is>
          <t>Task</t>
        </is>
      </c>
      <c r="G3" s="37" t="inlineStr">
        <is>
          <t>Done</t>
        </is>
      </c>
      <c r="H3" s="37" t="n"/>
      <c r="I3" s="37" t="n"/>
      <c r="J3" s="37" t="n"/>
    </row>
    <row r="4" ht="21.75" customHeight="1" s="23">
      <c r="A4" s="38" t="n">
        <v>3</v>
      </c>
      <c r="B4" s="37" t="inlineStr">
        <is>
          <t>R&amp;D ladder</t>
        </is>
      </c>
      <c r="C4" s="37" t="inlineStr">
        <is>
          <t>Component R&amp;D ladder</t>
        </is>
      </c>
      <c r="D4" s="37" t="inlineStr">
        <is>
          <t>Run the REQUIRES_NEW spike, both with and without the annotation</t>
        </is>
      </c>
      <c r="E4" s="39" t="inlineStr">
        <is>
          <t>The negative case matters more than the positive one — it proves the test would catch a regression.</t>
        </is>
      </c>
      <c r="F4" s="37" t="inlineStr">
        <is>
          <t>Task</t>
        </is>
      </c>
      <c r="G4" s="37" t="inlineStr">
        <is>
          <t>Done</t>
        </is>
      </c>
      <c r="H4" s="37" t="n"/>
      <c r="I4" s="37" t="n"/>
      <c r="J4" s="37" t="n"/>
    </row>
    <row r="5" ht="15" customHeight="1" s="23">
      <c r="A5" s="38" t="n">
        <v>4</v>
      </c>
      <c r="B5" s="37" t="inlineStr">
        <is>
          <t>R&amp;D ladder</t>
        </is>
      </c>
      <c r="C5" s="37" t="inlineStr">
        <is>
          <t>Component R&amp;D ladder</t>
        </is>
      </c>
      <c r="D5" s="37" t="inlineStr">
        <is>
          <t>Run the Togglz, Resilience4j and Flyway spikes</t>
        </is>
      </c>
      <c r="E5" s="39" t="n"/>
      <c r="F5" s="37" t="inlineStr">
        <is>
          <t>Task</t>
        </is>
      </c>
      <c r="G5" s="37" t="inlineStr">
        <is>
          <t>Done</t>
        </is>
      </c>
      <c r="H5" s="37" t="n"/>
      <c r="I5" s="37" t="n"/>
      <c r="J5" s="37" t="n"/>
    </row>
    <row r="6" ht="15" customHeight="1" s="23">
      <c r="A6" s="38" t="n">
        <v>5</v>
      </c>
      <c r="B6" s="37" t="inlineStr">
        <is>
          <t>R&amp;D ladder</t>
        </is>
      </c>
      <c r="C6" s="37" t="inlineStr">
        <is>
          <t>Component R&amp;D ladder</t>
        </is>
      </c>
      <c r="D6" s="37" t="inlineStr">
        <is>
          <t>Run the FastAPI + Pydantic spike against a stubbed model response</t>
        </is>
      </c>
      <c r="E6" s="39" t="n"/>
      <c r="F6" s="37" t="inlineStr">
        <is>
          <t>Task</t>
        </is>
      </c>
      <c r="G6" s="37" t="inlineStr">
        <is>
          <t>Done</t>
        </is>
      </c>
      <c r="H6" s="37" t="n"/>
      <c r="I6" s="37" t="n"/>
      <c r="J6" s="37" t="n"/>
    </row>
    <row r="7" ht="23.25" customHeight="1" s="23">
      <c r="A7" s="38" t="n">
        <v>6</v>
      </c>
      <c r="B7" s="37" t="inlineStr">
        <is>
          <t>R&amp;D ladder</t>
        </is>
      </c>
      <c r="C7" s="37" t="inlineStr">
        <is>
          <t>Component R&amp;D ladder</t>
        </is>
      </c>
      <c r="D7" s="40" t="inlineStr">
        <is>
          <t>GateWrite one page per component: what it does, how it is wired, and what surprised you</t>
        </is>
      </c>
      <c r="E7" s="39" t="inlineStr">
        <is>
          <t>If a component cannot be explained in a page, it is not understood well enough to build on. This page is also the seed of the production runbook.</t>
        </is>
      </c>
      <c r="F7" s="41" t="inlineStr">
        <is>
          <t>Gate</t>
        </is>
      </c>
      <c r="G7" s="37" t="inlineStr">
        <is>
          <t>Done</t>
        </is>
      </c>
      <c r="H7" s="37" t="n"/>
      <c r="I7" s="37" t="n"/>
      <c r="J7" s="37" t="n"/>
    </row>
    <row r="8" ht="23.25" customHeight="1" s="23">
      <c r="A8" s="38" t="n">
        <v>7</v>
      </c>
      <c r="B8" s="37" t="inlineStr">
        <is>
          <t>LLM track</t>
        </is>
      </c>
      <c r="C8" s="37" t="inlineStr">
        <is>
          <t>3a — Define what the model has to do</t>
        </is>
      </c>
      <c r="D8" s="37" t="inlineStr">
        <is>
          <t>Write the task spec: closed-set classification of short Hinglish text, two variants — one concern's reason list, and the full L1/L2 taxonomy</t>
        </is>
      </c>
      <c r="E8" s="39" t="inlineStr">
        <is>
          <t>This is a narrow, cheap task. Naming it precisely stops the conversation drifting toward general-purpose assistants, which is a different and far more expensive purchase.</t>
        </is>
      </c>
      <c r="F8" s="37" t="inlineStr">
        <is>
          <t>Task</t>
        </is>
      </c>
      <c r="G8" s="37" t="inlineStr">
        <is>
          <t>Done</t>
        </is>
      </c>
      <c r="H8" s="37" t="inlineStr">
        <is>
          <t>Done — docs/LLM-TASK-SPEC.md §1. Closed-set classification into a taxonomy the service already owns. States what it is NOT, because each has been mistaken for it: not open-ended understanding, not a decision, not a threshold (the floor lives in the tables so a business owner can tune it), not a conversation. Every sentence a partner reads comes from a template — that is why a wrong classification costs a reroute, not a wrong promise about money.</t>
        </is>
      </c>
      <c r="I8" s="37" t="n"/>
      <c r="J8" s="37" t="n"/>
    </row>
    <row r="9" ht="42.75" customHeight="1" s="23">
      <c r="A9" s="38" t="n">
        <v>8</v>
      </c>
      <c r="B9" s="37" t="inlineStr">
        <is>
          <t>LLM track</t>
        </is>
      </c>
      <c r="C9" s="37" t="inlineStr">
        <is>
          <t>3a — Define what the model has to do</t>
        </is>
      </c>
      <c r="D9" s="37" t="inlineStr">
        <is>
          <t>Write the non-functional requirements</t>
        </is>
      </c>
      <c r="E9" s="39" t="inlineStr">
        <is>
          <t>Structured output support · p95 latency inside the 3s timeout with headroom · cost per thousand classifications at projected volume · rate limits and burst behaviour · data residency · retention and whether a zero-retention mode exists · availability commitment · how hard it is to swap out later.</t>
        </is>
      </c>
      <c r="F9" s="37" t="inlineStr">
        <is>
          <t>Task</t>
        </is>
      </c>
      <c r="G9" s="37" t="inlineStr">
        <is>
          <t>Done</t>
        </is>
      </c>
      <c r="H9" s="37" t="inlineStr">
        <is>
          <t>Done — §2. p95 under 3s because the client already enforces that timeout; a slower model degrades to a human, so you pay for capability you do not use. Cost stated per 1,000 CALLS, not per token: tokenisers differ and Hinglish tokenises worse than English. Degradation must stay indistinguishable from a no-match — already built.</t>
        </is>
      </c>
      <c r="I9" s="37" t="n"/>
      <c r="J9" s="37" t="n"/>
    </row>
    <row r="10" ht="32.25" customHeight="1" s="23">
      <c r="A10" s="38" t="n">
        <v>9</v>
      </c>
      <c r="B10" s="37" t="inlineStr">
        <is>
          <t>LLM track</t>
        </is>
      </c>
      <c r="C10" s="37" t="inlineStr">
        <is>
          <t>3a — Define what the model has to do</t>
        </is>
      </c>
      <c r="D10" s="37" t="inlineStr">
        <is>
          <t>Decide the PII position before talking to any vendor</t>
        </is>
      </c>
      <c r="E10" s="39" t="inlineStr">
        <is>
          <t>Partner free text can contain names, phone numbers and addresses. Decide whether text is redacted before it leaves the network, and whether that is a hard requirement or a preference — it eliminates some options outright.</t>
        </is>
      </c>
      <c r="F10" s="37" t="inlineStr">
        <is>
          <t>Task</t>
        </is>
      </c>
      <c r="G10" s="37" t="inlineStr">
        <is>
          <t>Done</t>
        </is>
      </c>
      <c r="H10" s="37" t="inlineStr">
        <is>
          <t>Done — §3. Recommended position: zero retention, no training on our data, processing region in the contract. SEQUENCE MATTERS: run the compliance filter BEFORE measuring accuracy, or the best-scoring candidate becomes the one everybody argues to accept. The Python service already enforces the boundary structurally — no DB credentials, no identifier field in the schema.</t>
        </is>
      </c>
      <c r="I10" s="37" t="n"/>
      <c r="J10" s="37" t="n"/>
    </row>
    <row r="11" ht="42.75" customHeight="1" s="23">
      <c r="A11" s="38" t="n">
        <v>10</v>
      </c>
      <c r="B11" s="37" t="inlineStr">
        <is>
          <t>LLM track</t>
        </is>
      </c>
      <c r="C11" s="37" t="inlineStr">
        <is>
          <t>3b — Build the harness</t>
        </is>
      </c>
      <c r="D11" s="37" t="inlineStr">
        <is>
          <t>Extract real free-text from historical tickets — unavailable; write Hinglish fixtures instead</t>
        </is>
      </c>
      <c r="E11" s="39" t="inlineStr">
        <is>
          <t>20–30 strings, phrasing taken from the concern names themselves. Enough to exercise routing, the threshold, the clarification loop and degradation. Not enough to claim accuracy: fixtures written by the builder always classify well. Keep the real extract as a follow-up — the harness is built to accept it unchanged.</t>
        </is>
      </c>
      <c r="F11" s="37" t="inlineStr">
        <is>
          <t>Task</t>
        </is>
      </c>
      <c r="G11" s="37" t="inlineStr">
        <is>
          <t>Blocked</t>
        </is>
      </c>
      <c r="H11" s="37" t="inlineStr">
        <is>
          <t>No historical text — Hinglish fixtures instead</t>
        </is>
      </c>
      <c r="I11" s="37" t="n"/>
      <c r="J11" s="37" t="n"/>
    </row>
    <row r="12" ht="32.25" customHeight="1" s="23">
      <c r="A12" s="38" t="n">
        <v>11</v>
      </c>
      <c r="B12" s="37" t="inlineStr">
        <is>
          <t>LLM track</t>
        </is>
      </c>
      <c r="C12" s="37" t="inlineStr">
        <is>
          <t>3b — Build the harness</t>
        </is>
      </c>
      <c r="D12" s="37" t="inlineStr">
        <is>
          <t>Label the fixtures into the mapping's own categories anyway</t>
        </is>
      </c>
      <c r="E12" s="39" t="inlineStr">
        <is>
          <t>Categories come from the concern mapping, never invented. Labelling fixtures is still worth doing — it forces the category list to be exercised and surfaces overlaps between categories before a real test set exists.</t>
        </is>
      </c>
      <c r="F12" s="37" t="inlineStr">
        <is>
          <t>Task</t>
        </is>
      </c>
      <c r="G12" s="37" t="inlineStr">
        <is>
          <t>Blocked</t>
        </is>
      </c>
      <c r="H12" s="37" t="inlineStr">
        <is>
          <t>Depends on fixtures</t>
        </is>
      </c>
      <c r="I12" s="37" t="n"/>
      <c r="J12" s="37" t="n"/>
    </row>
    <row r="13" ht="23.25" customHeight="1" s="23">
      <c r="A13" s="38" t="n">
        <v>12</v>
      </c>
      <c r="B13" s="37" t="inlineStr">
        <is>
          <t>LLM track</t>
        </is>
      </c>
      <c r="C13" s="37" t="inlineStr">
        <is>
          <t>3b — Build the harness</t>
        </is>
      </c>
      <c r="D13" s="37" t="inlineStr">
        <is>
          <t>Write the scorer: accuracy, per-class confusion matrix, p95 latency, cost per call</t>
        </is>
      </c>
      <c r="E13" s="39" t="inlineStr">
        <is>
          <t>The confusion matrix matters more than the headline number — two categories bleeding into each other is fixable by merging them; uniform error is not.</t>
        </is>
      </c>
      <c r="F13" s="37" t="inlineStr">
        <is>
          <t>Task</t>
        </is>
      </c>
      <c r="G13" s="37" t="inlineStr">
        <is>
          <t>Done</t>
        </is>
      </c>
      <c r="H13" s="37" t="inlineStr">
        <is>
          <t>Done — classifier-service/harness/score.py. Reports accuracy, per-class confusion, false-match vs missed-match SEPARATELY (a false match sends the partner confidently into the wrong flow; a missed match hands them to a person, which is the design working), risk recall never averaged into accuracy, p95 against the 3s budget, and cost per 1,000 calls. A call failure scores as a no-match because that is what the service does with one.</t>
        </is>
      </c>
      <c r="I13" s="37" t="n"/>
      <c r="J13" s="37" t="n"/>
    </row>
    <row r="14" ht="23.25" customHeight="1" s="23">
      <c r="A14" s="38" t="n">
        <v>13</v>
      </c>
      <c r="B14" s="37" t="inlineStr">
        <is>
          <t>LLM track</t>
        </is>
      </c>
      <c r="C14" s="37" t="inlineStr">
        <is>
          <t>3b — Build the harness</t>
        </is>
      </c>
      <c r="D14" s="37" t="inlineStr">
        <is>
          <t>Define one prompt, versioned as a file, used identically across every candidate</t>
        </is>
      </c>
      <c r="E14" s="39" t="inlineStr">
        <is>
          <t>Tuning the prompt per vendor makes the comparison meaningless.</t>
        </is>
      </c>
      <c r="F14" s="37" t="inlineStr">
        <is>
          <t>Task</t>
        </is>
      </c>
      <c r="G14" s="37" t="inlineStr">
        <is>
          <t>Done</t>
        </is>
      </c>
      <c r="H14" s="37" t="inlineStr">
        <is>
          <t>Done — classifier-service/prompts/classify-v1.txt. Versioned so every candidate is measured on an IDENTICAL prompt: tuned per vendor, a model comparison becomes a prompt-engineering comparison and the winner is whoever was tuned last. {CATEGORIES} is substituted at call time from the ACTIVE catalogue, so a model can never name a concern nobody built.</t>
        </is>
      </c>
      <c r="I14" s="37" t="n"/>
      <c r="J14" s="37" t="n"/>
    </row>
    <row r="15" ht="53.25" customHeight="1" s="23">
      <c r="A15" s="38" t="n">
        <v>14</v>
      </c>
      <c r="B15" s="37" t="inlineStr">
        <is>
          <t>LLM track</t>
        </is>
      </c>
      <c r="C15" s="37" t="inlineStr">
        <is>
          <t>3c — Shortlist and decide</t>
        </is>
      </c>
      <c r="D15" s="37" t="inlineStr">
        <is>
          <t>Shortlist across three categories, not three brands</t>
        </is>
      </c>
      <c r="E15" s="39" t="inlineStr">
        <is>
          <t>Hosted frontier APIs — best accuracy, highest per-call cost, data leaves the network. Hosted small/cheap tiers — most vendors offer a smaller model that is usually sufficient for closed-set classification. Open-weight self-hosted — no per-call cost, no data egress, but infrastructure and ops become yours. Pricing and model lineups change constantly; pull current figures at decision time rather than trusting any written comparison.</t>
        </is>
      </c>
      <c r="F15" s="37" t="inlineStr">
        <is>
          <t>Task</t>
        </is>
      </c>
      <c r="G15" s="37" t="inlineStr">
        <is>
          <t>Done</t>
        </is>
      </c>
      <c r="H15" s="37" t="inlineStr">
        <is>
          <t>Done — §4. Three CATEGORIES, not three brands: hosted frontier, hosted cheap, self-hosted open. Evaluate the cheap tier FIRST — this is closed-set classification into under forty categories, not open-ended reasoning, and a frontier model would be paying for unused capability on every call forever. Exit criteria agreed before the numbers exist: &gt;=90% holds, 75-90% raises the floor, &lt;75% makes free text a fallback.</t>
        </is>
      </c>
      <c r="I15" s="37" t="n"/>
      <c r="J15" s="37" t="n"/>
    </row>
    <row r="16" ht="23.25" customHeight="1" s="23">
      <c r="A16" s="38" t="n">
        <v>15</v>
      </c>
      <c r="B16" s="37" t="inlineStr">
        <is>
          <t>LLM track</t>
        </is>
      </c>
      <c r="C16" s="37" t="inlineStr">
        <is>
          <t>3c — Shortlist and decide</t>
        </is>
      </c>
      <c r="D16" s="37" t="inlineStr">
        <is>
          <t>Run every candidate through the harness on the same test set and the same prompt</t>
        </is>
      </c>
      <c r="E16" s="39" t="n"/>
      <c r="F16" s="37" t="inlineStr">
        <is>
          <t>Task</t>
        </is>
      </c>
      <c r="G16" s="37" t="inlineStr">
        <is>
          <t>Blocked</t>
        </is>
      </c>
      <c r="H16" s="37" t="inlineStr">
        <is>
          <t>Needs harness + a vendor</t>
        </is>
      </c>
      <c r="I16" s="37" t="n"/>
      <c r="J16" s="37" t="n"/>
    </row>
    <row r="17" ht="32.25" customHeight="1" s="23">
      <c r="A17" s="38" t="n">
        <v>16</v>
      </c>
      <c r="B17" s="37" t="inlineStr">
        <is>
          <t>LLM track</t>
        </is>
      </c>
      <c r="C17" s="37" t="inlineStr">
        <is>
          <t>3c — Shortlist and decide</t>
        </is>
      </c>
      <c r="D17" s="37" t="inlineStr">
        <is>
          <t>Check the cheap tier first</t>
        </is>
      </c>
      <c r="E17" s="39" t="inlineStr">
        <is>
          <t>This task is short-text classification into a fixed list. If a small model reaches the threshold, the frontier model's advantage is worth nothing here and costs several times more per call at 50,000 sessions a month.</t>
        </is>
      </c>
      <c r="F17" s="37" t="inlineStr">
        <is>
          <t>Task</t>
        </is>
      </c>
      <c r="G17" s="37" t="inlineStr">
        <is>
          <t>Blocked</t>
        </is>
      </c>
      <c r="H17" s="37" t="inlineStr">
        <is>
          <t>Needs step 15</t>
        </is>
      </c>
      <c r="I17" s="37" t="n"/>
      <c r="J17" s="37" t="n"/>
    </row>
    <row r="18" ht="23.25" customHeight="1" s="23">
      <c r="A18" s="38" t="n">
        <v>17</v>
      </c>
      <c r="B18" s="37" t="inlineStr">
        <is>
          <t>LLM track</t>
        </is>
      </c>
      <c r="C18" s="37" t="inlineStr">
        <is>
          <t>3c — Shortlist and decide</t>
        </is>
      </c>
      <c r="D18" s="40" t="inlineStr">
        <is>
          <t>DecisionRecord the choice with its numbers, and the runner-up with its numbers</t>
        </is>
      </c>
      <c r="E18" s="39" t="inlineStr">
        <is>
          <t>The runner-up matters: it is the fallback if the first choice fails a security review, changes pricing, or degrades.</t>
        </is>
      </c>
      <c r="F18" s="41" t="inlineStr">
        <is>
          <t>Decision</t>
        </is>
      </c>
      <c r="G18" s="37" t="inlineStr">
        <is>
          <t>Blocked</t>
        </is>
      </c>
      <c r="H18" s="37" t="inlineStr">
        <is>
          <t>Needs step 15</t>
        </is>
      </c>
      <c r="I18" s="37" t="n"/>
      <c r="J18" s="37" t="n"/>
    </row>
    <row r="19" ht="23.25" customHeight="1" s="23">
      <c r="A19" s="38" t="n">
        <v>18</v>
      </c>
      <c r="B19" s="37" t="inlineStr">
        <is>
          <t>LLM track</t>
        </is>
      </c>
      <c r="C19" s="37" t="inlineStr">
        <is>
          <t>3d — Procure and secure the key</t>
        </is>
      </c>
      <c r="D19" s="37" t="inlineStr">
        <is>
          <t>Identify the budget owner and get a spend ceiling approved against the measured cost-per-call</t>
        </is>
      </c>
      <c r="E19" s="39" t="inlineStr">
        <is>
          <t>Bring a number from step 15, not an estimate.</t>
        </is>
      </c>
      <c r="F19" s="37" t="inlineStr">
        <is>
          <t>Task</t>
        </is>
      </c>
      <c r="G19" s="37" t="inlineStr">
        <is>
          <t>Blocked</t>
        </is>
      </c>
      <c r="H19" s="37" t="inlineStr">
        <is>
          <t>Needs measured cost from step 15</t>
        </is>
      </c>
      <c r="I19" s="37" t="n"/>
      <c r="J19" s="37" t="n"/>
    </row>
    <row r="20" ht="21.75" customHeight="1" s="23">
      <c r="A20" s="38" t="n">
        <v>19</v>
      </c>
      <c r="B20" s="37" t="inlineStr">
        <is>
          <t>LLM track</t>
        </is>
      </c>
      <c r="C20" s="37" t="inlineStr">
        <is>
          <t>3d — Procure and secure the key</t>
        </is>
      </c>
      <c r="D20" s="37" t="inlineStr">
        <is>
          <t>Security review and data-processing agreement</t>
        </is>
      </c>
      <c r="E20" s="39" t="inlineStr">
        <is>
          <t>Usually the longest single item. Start it the moment the shortlist exists — it can run against two candidates in parallel.</t>
        </is>
      </c>
      <c r="F20" s="37" t="inlineStr">
        <is>
          <t>Task</t>
        </is>
      </c>
      <c r="G20" s="37" t="inlineStr">
        <is>
          <t>Blocked</t>
        </is>
      </c>
      <c r="H20" s="37" t="inlineStr">
        <is>
          <t>Needs shortlist</t>
        </is>
      </c>
      <c r="I20" s="37" t="n"/>
      <c r="J20" s="37" t="n"/>
    </row>
    <row r="21" ht="15" customHeight="1" s="23">
      <c r="A21" s="38" t="n">
        <v>20</v>
      </c>
      <c r="B21" s="37" t="inlineStr">
        <is>
          <t>LLM track</t>
        </is>
      </c>
      <c r="C21" s="37" t="inlineStr">
        <is>
          <t>3d — Procure and secure the key</t>
        </is>
      </c>
      <c r="D21" s="37" t="inlineStr">
        <is>
          <t>Billing account, then separate keys per environment</t>
        </is>
      </c>
      <c r="E21" s="39" t="n"/>
      <c r="F21" s="37" t="inlineStr">
        <is>
          <t>Task</t>
        </is>
      </c>
      <c r="G21" s="37" t="inlineStr">
        <is>
          <t>Blocked</t>
        </is>
      </c>
      <c r="H21" s="37" t="inlineStr">
        <is>
          <t>Needs step 19</t>
        </is>
      </c>
      <c r="I21" s="37" t="n"/>
      <c r="J21" s="37" t="n"/>
    </row>
    <row r="22" ht="23.25" customHeight="1" s="23">
      <c r="A22" s="38" t="n">
        <v>21</v>
      </c>
      <c r="B22" s="37" t="inlineStr">
        <is>
          <t>LLM track</t>
        </is>
      </c>
      <c r="C22" s="37" t="inlineStr">
        <is>
          <t>3d — Procure and secure the key</t>
        </is>
      </c>
      <c r="D22" s="37" t="inlineStr">
        <is>
          <t>Keys into a secret manager with a rotation policy — never in the repo, never in a plain environment file</t>
        </is>
      </c>
      <c r="E22" s="39" t="inlineStr">
        <is>
          <t>Decide rotation cadence and who holds the break-glass copy at the same time, not later.</t>
        </is>
      </c>
      <c r="F22" s="37" t="inlineStr">
        <is>
          <t>Task</t>
        </is>
      </c>
      <c r="G22" s="37" t="inlineStr">
        <is>
          <t>Blocked</t>
        </is>
      </c>
      <c r="H22" s="37" t="inlineStr">
        <is>
          <t>Needs step 20</t>
        </is>
      </c>
      <c r="I22" s="37" t="n"/>
      <c r="J22" s="37" t="n"/>
    </row>
    <row r="23" ht="15" customHeight="1" s="23">
      <c r="A23" s="38" t="n">
        <v>22</v>
      </c>
      <c r="B23" s="37" t="inlineStr">
        <is>
          <t>LLM track</t>
        </is>
      </c>
      <c r="C23" s="37" t="inlineStr">
        <is>
          <t>3d — Procure and secure the key</t>
        </is>
      </c>
      <c r="D23" s="37" t="inlineStr">
        <is>
          <t>Spend alerting on the billing account</t>
        </is>
      </c>
      <c r="E23" s="39" t="inlineStr">
        <is>
          <t>A retry loop against a paid API is a financial incident, not just a bug.</t>
        </is>
      </c>
      <c r="F23" s="37" t="inlineStr">
        <is>
          <t>Task</t>
        </is>
      </c>
      <c r="G23" s="37" t="inlineStr">
        <is>
          <t>Blocked</t>
        </is>
      </c>
      <c r="H23" s="37" t="inlineStr">
        <is>
          <t>Needs step 20</t>
        </is>
      </c>
      <c r="I23" s="37" t="n"/>
      <c r="J23" s="37" t="n"/>
    </row>
    <row r="24" ht="23.25" customHeight="1" s="23">
      <c r="A24" s="38" t="n">
        <v>23</v>
      </c>
      <c r="B24" s="37" t="inlineStr">
        <is>
          <t>Build</t>
        </is>
      </c>
      <c r="C24" s="37" t="inlineStr">
        <is>
          <t>Phase 1 — Skeleton and data model</t>
        </is>
      </c>
      <c r="D24" s="37" t="inlineStr">
        <is>
          <t>Spring Boot service, standalone, structured as the production package layout</t>
        </is>
      </c>
      <c r="E24" s="39" t="inlineStr">
        <is>
          <t>Split by layer from day one: api, session, catalogue, process, decision, facts, action, safety, agent. Renaming packages later is cheap; discovering the boundaries later is not.</t>
        </is>
      </c>
      <c r="F24" s="37" t="inlineStr">
        <is>
          <t>Task</t>
        </is>
      </c>
      <c r="G24" s="37" t="inlineStr">
        <is>
          <t>Done</t>
        </is>
      </c>
      <c r="H24" s="37" t="inlineStr">
        <is>
          <t>Done — verified by mvn test on 14 Sep, 6/6 green</t>
        </is>
      </c>
      <c r="I24" s="37" t="n"/>
      <c r="J24" s="37" t="n"/>
    </row>
    <row r="25" ht="23.25" customHeight="1" s="23">
      <c r="A25" s="38" t="n">
        <v>24</v>
      </c>
      <c r="B25" s="37" t="inlineStr">
        <is>
          <t>Build</t>
        </is>
      </c>
      <c r="C25" s="37" t="inlineStr">
        <is>
          <t>Phase 1 — Skeleton and data model</t>
        </is>
      </c>
      <c r="D25" s="37" t="inlineStr">
        <is>
          <t>Dependencies: web, data-jpa, flyway, flowable-spring-boot-starter, togglz, resilience4j, driver, test containers</t>
        </is>
      </c>
      <c r="E25" s="39" t="n"/>
      <c r="F25" s="37" t="inlineStr">
        <is>
          <t>Task</t>
        </is>
      </c>
      <c r="G25" s="37" t="inlineStr">
        <is>
          <t>Done</t>
        </is>
      </c>
      <c r="H25" s="37" t="inlineStr">
        <is>
          <t>Done — all versions resolve; Flyway module corrected to Boot 3.2 line</t>
        </is>
      </c>
      <c r="I25" s="37" t="n"/>
      <c r="J25" s="37" t="n"/>
    </row>
    <row r="26" ht="32.25" customHeight="1" s="23">
      <c r="A26" s="38" t="n">
        <v>25</v>
      </c>
      <c r="B26" s="37" t="inlineStr">
        <is>
          <t>Build</t>
        </is>
      </c>
      <c r="C26" s="37" t="inlineStr">
        <is>
          <t>Phase 1 — Skeleton and data model</t>
        </is>
      </c>
      <c r="D26" s="37" t="inlineStr">
        <is>
          <t>Two datasources: the service's own schema, and a second, read-only one</t>
        </is>
      </c>
      <c r="E26" s="39" t="inlineStr">
        <is>
          <t>Points at a seeded local database for now, at the replica later — the code does not know the difference. Keep it read-only at the connection level from day one, so the substitution never quietly becomes a write path.</t>
        </is>
      </c>
      <c r="F26" s="37" t="inlineStr">
        <is>
          <t>Task</t>
        </is>
      </c>
      <c r="G26" s="37" t="inlineStr">
        <is>
          <t>Done</t>
        </is>
      </c>
      <c r="H26" s="37" t="inlineStr">
        <is>
          <t>Done — UAT is the SECOND datasource, read-only, no JPA/Flyway/Flowable on it</t>
        </is>
      </c>
      <c r="I26" s="37" t="n"/>
      <c r="J26" s="37" t="n"/>
    </row>
    <row r="27" ht="23.25" customHeight="1" s="23">
      <c r="A27" s="38" t="n">
        <v>26</v>
      </c>
      <c r="B27" s="37" t="inlineStr">
        <is>
          <t>Build</t>
        </is>
      </c>
      <c r="C27" s="37" t="inlineStr">
        <is>
          <t>Phase 1 — Skeleton and data model</t>
        </is>
      </c>
      <c r="D27" s="37" t="inlineStr">
        <is>
          <t>Flyway migrations for six tables: concern_catalogue, help_session, ticket, ticket_action, conversation_message, escalation_context</t>
        </is>
      </c>
      <c r="E27" s="39" t="n"/>
      <c r="F27" s="37" t="inlineStr">
        <is>
          <t>Task</t>
        </is>
      </c>
      <c r="G27" s="37" t="inlineStr">
        <is>
          <t>Done</t>
        </is>
      </c>
      <c r="H27" s="37" t="inlineStr">
        <is>
          <t>Done — V1__core_schema.sql applies cleanly</t>
        </is>
      </c>
      <c r="I27" s="37" t="n"/>
      <c r="J27" s="37" t="n"/>
    </row>
    <row r="28" ht="23.25" customHeight="1" s="23">
      <c r="A28" s="38" t="n">
        <v>27</v>
      </c>
      <c r="B28" s="37" t="inlineStr">
        <is>
          <t>Build</t>
        </is>
      </c>
      <c r="C28" s="37" t="inlineStr">
        <is>
          <t>Phase 1 — Skeleton and data model</t>
        </is>
      </c>
      <c r="D28" s="37" t="inlineStr">
        <is>
          <t>Plus one the mapping forces: sp_counter — durable per-SP tallies with a reset boundary</t>
        </is>
      </c>
      <c r="E28" s="39" t="inlineStr">
        <is>
          <t>The pooled emergency count, the monthly period-leave count and the 25-job cycle allowances are state this engine owns, not facts it reads. Nothing in the earlier design held them.</t>
        </is>
      </c>
      <c r="F28" s="37" t="inlineStr">
        <is>
          <t>Task</t>
        </is>
      </c>
      <c r="G28" s="37" t="inlineStr">
        <is>
          <t>Done</t>
        </is>
      </c>
      <c r="H28" s="37" t="inlineStr">
        <is>
          <t>Done — sp_counter included</t>
        </is>
      </c>
      <c r="I28" s="37" t="n"/>
      <c r="J28" s="37" t="n"/>
    </row>
    <row r="29" ht="23.25" customHeight="1" s="23">
      <c r="A29" s="38" t="n">
        <v>28</v>
      </c>
      <c r="B29" s="37" t="inlineStr">
        <is>
          <t>Build</t>
        </is>
      </c>
      <c r="C29" s="37" t="inlineStr">
        <is>
          <t>Phase 1 — Skeleton and data model</t>
        </is>
      </c>
      <c r="D29" s="37" t="inlineStr">
        <is>
          <t>Unique constraint on ticket_action.idempotency_key; index ticket(sp_id, l2_concern, created_at)</t>
        </is>
      </c>
      <c r="E29" s="39" t="n"/>
      <c r="F29" s="37" t="inlineStr">
        <is>
          <t>Task</t>
        </is>
      </c>
      <c r="G29" s="37" t="inlineStr">
        <is>
          <t>Done</t>
        </is>
      </c>
      <c r="H29" s="37" t="inlineStr">
        <is>
          <t>Done — asserted by SchemaAndCatalogueTest</t>
        </is>
      </c>
      <c r="I29" s="37" t="n"/>
      <c r="J29" s="37" t="n"/>
    </row>
    <row r="30" ht="23.25" customHeight="1" s="23">
      <c r="A30" s="38" t="n">
        <v>29</v>
      </c>
      <c r="B30" s="37" t="inlineStr">
        <is>
          <t>Build</t>
        </is>
      </c>
      <c r="C30" s="37" t="inlineStr">
        <is>
          <t>Phase 1 — Skeleton and data model</t>
        </is>
      </c>
      <c r="D30" s="37" t="inlineStr">
        <is>
          <t>Entities, repositories, and HelpSessionService / TicketService / TicketActionRecorder</t>
        </is>
      </c>
      <c r="E30" s="39" t="n"/>
      <c r="F30" s="37" t="inlineStr">
        <is>
          <t>Task</t>
        </is>
      </c>
      <c r="G30" s="37" t="inlineStr">
        <is>
          <t>Done</t>
        </is>
      </c>
      <c r="H30" s="37" t="inlineStr">
        <is>
          <t>Done — entities + repositories + recorder</t>
        </is>
      </c>
      <c r="I30" s="37" t="n"/>
      <c r="J30" s="37" t="n"/>
    </row>
    <row r="31" ht="34.5" customHeight="1" s="23">
      <c r="A31" s="38" t="n">
        <v>30</v>
      </c>
      <c r="B31" s="37" t="inlineStr">
        <is>
          <t>Build</t>
        </is>
      </c>
      <c r="C31" s="37" t="inlineStr">
        <is>
          <t>Phase 1 — Skeleton and data model</t>
        </is>
      </c>
      <c r="D31" s="40" t="inlineStr">
        <is>
          <t>CriticalrecordAttempt() annotated @Transactional(propagation = REQUIRES_NEW), with the paired test from spike 3 promoted into the real test suite</t>
        </is>
      </c>
      <c r="E31" s="39" t="n"/>
      <c r="F31" s="41" t="inlineStr">
        <is>
          <t>Critical</t>
        </is>
      </c>
      <c r="G31" s="37" t="inlineStr">
        <is>
          <t>Done</t>
        </is>
      </c>
      <c r="H31" s="37" t="inlineStr">
        <is>
          <t>Done — rollback test green in the real suite</t>
        </is>
      </c>
      <c r="I31" s="37" t="n"/>
      <c r="J31" s="37" t="n"/>
    </row>
    <row r="32" ht="23.25" customHeight="1" s="23">
      <c r="A32" s="38" t="n">
        <v>31</v>
      </c>
      <c r="B32" s="37" t="inlineStr">
        <is>
          <t>Build</t>
        </is>
      </c>
      <c r="C32" s="37" t="inlineStr">
        <is>
          <t>Phase 1 — Skeleton and data model</t>
        </is>
      </c>
      <c r="D32" s="40" t="inlineStr">
        <is>
          <t>CheckpointApp boots on an empty database; our seven tables and ~25 ACT_* tables all appear</t>
        </is>
      </c>
      <c r="E32" s="39" t="n"/>
      <c r="F32" s="41" t="inlineStr">
        <is>
          <t>Checkpoint</t>
        </is>
      </c>
      <c r="G32" s="37" t="inlineStr">
        <is>
          <t>Done</t>
        </is>
      </c>
      <c r="H32" s="37" t="inlineStr">
        <is>
          <t>Done — 6/6 tests pass; 7 tables + ACT_* confirmed on H2. Postgres boot still to run.</t>
        </is>
      </c>
      <c r="I32" s="37" t="n"/>
      <c r="J32" s="37" t="n"/>
    </row>
    <row r="33" ht="23.25" customHeight="1" s="23">
      <c r="A33" s="38" t="n">
        <v>32</v>
      </c>
      <c r="B33" s="37" t="inlineStr">
        <is>
          <t>Build</t>
        </is>
      </c>
      <c r="C33" s="37" t="inlineStr">
        <is>
          <t>Phase 2 — Catalogue and L1 → L2 routing</t>
        </is>
      </c>
      <c r="D33" s="37" t="inlineStr">
        <is>
          <t>Seed concern_catalogue from the generated CSV — all 38 rows, 30 of them inactive</t>
        </is>
      </c>
      <c r="E33" s="39" t="inlineStr">
        <is>
          <t>Seed the full taxonomy even though only 8 are built. It makes the L1 menu real, and an SP selecting an unbuilt concern must degrade gracefully rather than 500.</t>
        </is>
      </c>
      <c r="F33" s="37" t="inlineStr">
        <is>
          <t>Task</t>
        </is>
      </c>
      <c r="G33" s="37" t="inlineStr">
        <is>
          <t>Done</t>
        </is>
      </c>
      <c r="H33" s="37" t="inlineStr">
        <is>
          <t>Done — all 38 seeded, 8 active (V2)</t>
        </is>
      </c>
      <c r="I33" s="37" t="n"/>
      <c r="J33" s="37" t="n"/>
    </row>
    <row r="34" ht="23.25" customHeight="1" s="23">
      <c r="A34" s="38" t="n">
        <v>33</v>
      </c>
      <c r="B34" s="37" t="inlineStr">
        <is>
          <t>Build</t>
        </is>
      </c>
      <c r="C34" s="37" t="inlineStr">
        <is>
          <t>Phase 2 — Catalogue and L1 → L2 routing</t>
        </is>
      </c>
      <c r="D34" s="37" t="inlineStr">
        <is>
          <t>Add the columns this mapping needs beyond the original design: mandatory_human, outcome_types, active</t>
        </is>
      </c>
      <c r="E34" s="39" t="n"/>
      <c r="F34" s="37" t="inlineStr">
        <is>
          <t>Task</t>
        </is>
      </c>
      <c r="G34" s="37" t="inlineStr">
        <is>
          <t>Done</t>
        </is>
      </c>
      <c r="H34" s="37" t="inlineStr">
        <is>
          <t>Done — V3 adds outcome_types, backfilled for all 38; mandatory_human + active already in V1</t>
        </is>
      </c>
      <c r="I34" s="37" t="n"/>
      <c r="J34" s="37" t="n"/>
    </row>
    <row r="35" ht="23.25" customHeight="1" s="23">
      <c r="A35" s="38" t="n">
        <v>34</v>
      </c>
      <c r="B35" s="37" t="inlineStr">
        <is>
          <t>Build</t>
        </is>
      </c>
      <c r="C35" s="37" t="inlineStr">
        <is>
          <t>Phase 2 — Catalogue and L1 → L2 routing</t>
        </is>
      </c>
      <c r="D35" s="37" t="inlineStr">
        <is>
          <t>GET /help/concerns returns L1 paths; GET /help/concerns/{l1} returns active L2s</t>
        </is>
      </c>
      <c r="E35" s="39" t="inlineStr">
        <is>
          <t>Driven entirely from the catalogue. No hard-coded list anywhere.</t>
        </is>
      </c>
      <c r="F35" s="37" t="inlineStr">
        <is>
          <t>Task</t>
        </is>
      </c>
      <c r="G35" s="37" t="inlineStr">
        <is>
          <t>Done</t>
        </is>
      </c>
      <c r="H35" s="37" t="inlineStr">
        <is>
          <t>Done — GET /help/concerns and /help/concerns/{l1}, derived from the table, no hard-coded list</t>
        </is>
      </c>
      <c r="I35" s="37" t="n"/>
      <c r="J35" s="37" t="n"/>
    </row>
    <row r="36" ht="23.25" customHeight="1" s="23">
      <c r="A36" s="38" t="n">
        <v>35</v>
      </c>
      <c r="B36" s="37" t="inlineStr">
        <is>
          <t>Build</t>
        </is>
      </c>
      <c r="C36" s="37" t="inlineStr">
        <is>
          <t>Phase 2 — Catalogue and L1 → L2 routing</t>
        </is>
      </c>
      <c r="D36" s="37" t="inlineStr">
        <is>
          <t>POST /help/sessions and POST /help/sessions/{id}/input with a nextStep descriptor</t>
        </is>
      </c>
      <c r="E36" s="39" t="inlineStr">
        <is>
          <t>Types: menu, dropdown, text, message, deeplink, closed. The backend owns all flow logic; the client is a renderer.</t>
        </is>
      </c>
      <c r="F36" s="37" t="inlineStr">
        <is>
          <t>Task</t>
        </is>
      </c>
      <c r="G36" s="37" t="inlineStr">
        <is>
          <t>Done</t>
        </is>
      </c>
      <c r="H36" s="37" t="inlineStr">
        <is>
          <t>Done — POST /help/sessions + /input, nextStep descriptor persisted as JSON on help_session</t>
        </is>
      </c>
      <c r="I36" s="37" t="n"/>
      <c r="J36" s="37" t="n"/>
    </row>
    <row r="37" ht="23.25" customHeight="1" s="23">
      <c r="A37" s="38" t="n">
        <v>36</v>
      </c>
      <c r="B37" s="37" t="inlineStr">
        <is>
          <t>Build</t>
        </is>
      </c>
      <c r="C37" s="37" t="inlineStr">
        <is>
          <t>Phase 2 — Catalogue and L1 → L2 routing</t>
        </is>
      </c>
      <c r="D37" s="37" t="inlineStr">
        <is>
          <t>GET /help/sessions/{id} for reconnect</t>
        </is>
      </c>
      <c r="E37" s="39" t="inlineStr">
        <is>
          <t>Reads nextStep from the session row, never from process variables — those are deleted when an instance completes.</t>
        </is>
      </c>
      <c r="F37" s="37" t="inlineStr">
        <is>
          <t>Task</t>
        </is>
      </c>
      <c r="G37" s="37" t="inlineStr">
        <is>
          <t>Done</t>
        </is>
      </c>
      <c r="H37" s="37" t="inlineStr">
        <is>
          <t>Done — GET /help/sessions/{id}; reconnect payload asserted identical to the response payload</t>
        </is>
      </c>
      <c r="I37" s="37" t="n"/>
      <c r="J37" s="37" t="n"/>
    </row>
    <row r="38" ht="23.25" customHeight="1" s="23">
      <c r="A38" s="38" t="n">
        <v>37</v>
      </c>
      <c r="B38" s="37" t="inlineStr">
        <is>
          <t>Build</t>
        </is>
      </c>
      <c r="C38" s="37" t="inlineStr">
        <is>
          <t>Phase 2 — Catalogue and L1 → L2 routing</t>
        </is>
      </c>
      <c r="D38" s="37" t="inlineStr">
        <is>
          <t>Selecting an inactive concern returns a defined "not available" step</t>
        </is>
      </c>
      <c r="E38" s="39" t="inlineStr">
        <is>
          <t>30 of 38 rows are inactive. This path will be hit constantly.</t>
        </is>
      </c>
      <c r="F38" s="37" t="inlineStr">
        <is>
          <t>Task</t>
        </is>
      </c>
      <c r="G38" s="37" t="inlineStr">
        <is>
          <t>Done</t>
        </is>
      </c>
      <c r="H38" s="37" t="inlineStr">
        <is>
          <t>Done — CONCERN_NOT_AVAILABLE for inactive, unknown, and wrong-path codes; status CLOSED_NOT_AVAILABLE</t>
        </is>
      </c>
      <c r="I38" s="37" t="n"/>
      <c r="J38" s="37" t="n"/>
    </row>
    <row r="39" ht="23.25" customHeight="1" s="23">
      <c r="A39" s="38" t="n">
        <v>38</v>
      </c>
      <c r="B39" s="37" t="inlineStr">
        <is>
          <t>Build</t>
        </is>
      </c>
      <c r="C39" s="37" t="inlineStr">
        <is>
          <t>Phase 3 — First concern end to end — T0</t>
        </is>
      </c>
      <c r="D39" s="37" t="inlineStr">
        <is>
          <t>FORGET_MPIN: BPMN with a start event, one Service Task, one end event</t>
        </is>
      </c>
      <c r="E39" s="39" t="n"/>
      <c r="F39" s="37" t="inlineStr">
        <is>
          <t>Task</t>
        </is>
      </c>
      <c r="G39" s="37" t="inlineStr">
        <is>
          <t>Done</t>
        </is>
      </c>
      <c r="H39" s="37" t="inlineStr">
        <is>
          <t>Done — forget-mpin.bpmn20.xml: start, one Service Task, end</t>
        </is>
      </c>
      <c r="I39" s="37" t="n"/>
      <c r="J39" s="37" t="n"/>
    </row>
    <row r="40" ht="23.25" customHeight="1" s="23">
      <c r="A40" s="38" t="n">
        <v>39</v>
      </c>
      <c r="B40" s="37" t="inlineStr">
        <is>
          <t>Build</t>
        </is>
      </c>
      <c r="C40" s="37" t="inlineStr">
        <is>
          <t>Phase 3 — First concern end to end — T0</t>
        </is>
      </c>
      <c r="D40" s="37" t="inlineStr">
        <is>
          <t>Returns a deeplink step and closes the session</t>
        </is>
      </c>
      <c r="E40" s="39" t="n"/>
      <c r="F40" s="37" t="inlineStr">
        <is>
          <t>Task</t>
        </is>
      </c>
      <c r="G40" s="37" t="inlineStr">
        <is>
          <t>Done</t>
        </is>
      </c>
      <c r="H40" s="37" t="inlineStr">
        <is>
          <t>Done — deeplink step (configurable), session closes CLOSED_DEFLECTED</t>
        </is>
      </c>
      <c r="I40" s="37" t="n"/>
      <c r="J40" s="37" t="n"/>
    </row>
    <row r="41" ht="23.25" customHeight="1" s="23">
      <c r="A41" s="38" t="n">
        <v>40</v>
      </c>
      <c r="B41" s="37" t="inlineStr">
        <is>
          <t>Build</t>
        </is>
      </c>
      <c r="C41" s="37" t="inlineStr">
        <is>
          <t>Phase 3 — First concern end to end — T0</t>
        </is>
      </c>
      <c r="D41" s="40" t="inlineStr">
        <is>
          <t>CheckpointAssert zero rows in ticket after the session closes</t>
        </is>
      </c>
      <c r="E41" s="39" t="inlineStr">
        <is>
          <t>This is Gate 1 made testable. T0 creating a ticket is the most likely silent bug in the whole design, because everything downstream assumes a ticket exists.</t>
        </is>
      </c>
      <c r="F41" s="41" t="inlineStr">
        <is>
          <t>Checkpoint</t>
        </is>
      </c>
      <c r="G41" s="37" t="inlineStr">
        <is>
          <t>Done</t>
        </is>
      </c>
      <c r="H41" s="37" t="inlineStr">
        <is>
          <t>Done — CHECKPOINT PASSED. Zero tickets by count, by SP, and by session. 27/27 green.</t>
        </is>
      </c>
      <c r="I41" s="37" t="n"/>
      <c r="J41" s="37" t="n"/>
    </row>
    <row r="42" ht="23.25" customHeight="1" s="23">
      <c r="A42" s="38" t="n">
        <v>41</v>
      </c>
      <c r="B42" s="37" t="inlineStr">
        <is>
          <t>Build</t>
        </is>
      </c>
      <c r="C42" s="37" t="inlineStr">
        <is>
          <t>Phase 4 — Fact providers and shared services</t>
        </is>
      </c>
      <c r="D42" s="37" t="inlineStr">
        <is>
          <t>ConcernFactProvider interface and the generic fetchFactsDelegate that resolves a bean by catalogue row</t>
        </is>
      </c>
      <c r="E42" s="39" t="n"/>
      <c r="F42" s="37" t="inlineStr">
        <is>
          <t>Task</t>
        </is>
      </c>
      <c r="G42" s="37" t="inlineStr">
        <is>
          <t>Done</t>
        </is>
      </c>
      <c r="H42" s="37" t="inlineStr">
        <is>
          <t>Done — ConcernFactProvider + FactProviderRegistry, fails at startup on a missing/duplicate provider</t>
        </is>
      </c>
      <c r="I42" s="37" t="n"/>
      <c r="J42" s="37" t="n"/>
    </row>
    <row r="43" ht="23.25" customHeight="1" s="23">
      <c r="A43" s="38" t="n">
        <v>42</v>
      </c>
      <c r="B43" s="37" t="inlineStr">
        <is>
          <t>Build</t>
        </is>
      </c>
      <c r="C43" s="37" t="inlineStr">
        <is>
          <t>Phase 4 — Fact providers and shared services</t>
        </is>
      </c>
      <c r="D43" s="37" t="inlineStr">
        <is>
          <t>Shared service: haversine + hub radius, distance measured from the radius edge</t>
        </is>
      </c>
      <c r="E43" s="39" t="inlineStr">
        <is>
          <t>Used by Transport path 3 now, R1 later. Build it as a service with its own tests, not a private method.</t>
        </is>
      </c>
      <c r="F43" s="37" t="inlineStr">
        <is>
          <t>Task</t>
        </is>
      </c>
      <c r="G43" s="37" t="inlineStr">
        <is>
          <t>Done</t>
        </is>
      </c>
      <c r="H43" s="37" t="inlineStr">
        <is>
          <t>Done — GeoService. Formula copied from empapi; measured from the RADIUS EDGE; radius = MAX(end) of hub slabs</t>
        </is>
      </c>
      <c r="I43" s="37" t="n"/>
      <c r="J43" s="37" t="n"/>
    </row>
    <row r="44" ht="23.25" customHeight="1" s="23">
      <c r="A44" s="38" t="n">
        <v>43</v>
      </c>
      <c r="B44" s="37" t="inlineStr">
        <is>
          <t>Build</t>
        </is>
      </c>
      <c r="C44" s="37" t="inlineStr">
        <is>
          <t>Phase 4 — Fact providers and shared services</t>
        </is>
      </c>
      <c r="D44" s="37" t="inlineStr">
        <is>
          <t>Shared service: Express/Standard delivery TAT with the 11 PM deadline</t>
        </is>
      </c>
      <c r="E44" s="39" t="inlineStr">
        <is>
          <t>Used by PROD_DELIVERY_DELAY and VIOL_R9. The mapping explicitly flags that R9 previously used a flat 3 days — the drift already happened once.</t>
        </is>
      </c>
      <c r="F44" s="37" t="inlineStr">
        <is>
          <t>Task</t>
        </is>
      </c>
      <c r="G44" s="37" t="inlineStr">
        <is>
          <t>Done</t>
        </is>
      </c>
      <c r="H44" s="37" t="inlineStr">
        <is>
          <t>Done — DeliveryTatService. Shared by PROD_DELIVERY_DELAY and VIOL_R9. Express by PINCODE. Zone stated.</t>
        </is>
      </c>
      <c r="I44" s="37" t="n"/>
      <c r="J44" s="37" t="n"/>
    </row>
    <row r="45" ht="23.25" customHeight="1" s="23">
      <c r="A45" s="38" t="n">
        <v>44</v>
      </c>
      <c r="B45" s="37" t="inlineStr">
        <is>
          <t>Build</t>
        </is>
      </c>
      <c r="C45" s="37" t="inlineStr">
        <is>
          <t>Phase 4 — Fact providers and shared services</t>
        </is>
      </c>
      <c r="D45" s="37" t="inlineStr">
        <is>
          <t>Shared service: duplicate-credit guard, keyed per action type</t>
        </is>
      </c>
      <c r="E45" s="39" t="inlineStr">
        <is>
          <t>Order ID for transport, PayU txn id for recharge. One service, two key strategies.</t>
        </is>
      </c>
      <c r="F45" s="37" t="inlineStr">
        <is>
          <t>Task</t>
        </is>
      </c>
      <c r="G45" s="37" t="inlineStr">
        <is>
          <t>Done</t>
        </is>
      </c>
      <c r="H45" s="37" t="inlineStr">
        <is>
          <t>Done — DuplicateCreditGuard. NET position, not EXISTS(CREDIT) — DEBIT/TRANSPORT is real</t>
        </is>
      </c>
      <c r="I45" s="37" t="n"/>
      <c r="J45" s="37" t="n"/>
    </row>
    <row r="46" ht="23.25" customHeight="1" s="23">
      <c r="A46" s="38" t="n">
        <v>45</v>
      </c>
      <c r="B46" s="37" t="inlineStr">
        <is>
          <t>Build</t>
        </is>
      </c>
      <c r="C46" s="37" t="inlineStr">
        <is>
          <t>Phase 4 — Fact providers and shared services</t>
        </is>
      </c>
      <c r="D46" s="37" t="inlineStr">
        <is>
          <t>Shared service: counter service over sp_counter, with explicit reset boundaries</t>
        </is>
      </c>
      <c r="E46" s="39" t="inlineStr">
        <is>
          <t>Calendar month for period leave, rolling 25-job cycle for allowances. The boundary definition is part of the contract.</t>
        </is>
      </c>
      <c r="F46" s="37" t="inlineStr">
        <is>
          <t>Task</t>
        </is>
      </c>
      <c r="G46" s="37" t="inlineStr">
        <is>
          <t>Done</t>
        </is>
      </c>
      <c r="H46" s="37" t="inlineStr">
        <is>
          <t>Done — SpCounterService. period_key is part of the PK, so reset is free. REQUIRES_NEW.</t>
        </is>
      </c>
      <c r="I46" s="37" t="n"/>
      <c r="J46" s="37" t="n"/>
    </row>
    <row r="47" ht="32.25" customHeight="1" s="23">
      <c r="A47" s="38" t="n">
        <v>46</v>
      </c>
      <c r="B47" s="37" t="inlineStr">
        <is>
          <t>Build</t>
        </is>
      </c>
      <c r="C47" s="37" t="inlineStr">
        <is>
          <t>Phase 4 — Fact providers and shared services</t>
        </is>
      </c>
      <c r="D47" s="37" t="inlineStr">
        <is>
          <t>Write the eight fact providers against the seeded schema, one signal at a time</t>
        </is>
      </c>
      <c r="E47" s="39" t="inlineStr">
        <is>
          <t>Real SQL, real column names. Ask for a schema-only dump to shape it — DDL with no rows is a much smaller ask than access and carries no data risk. Where even the schema is guessed, say so in the register.</t>
        </is>
      </c>
      <c r="F47" s="37" t="inlineStr">
        <is>
          <t>Task</t>
        </is>
      </c>
      <c r="G47" s="37" t="inlineStr">
        <is>
          <t>Done</t>
        </is>
      </c>
      <c r="H47" s="37" t="inlineStr">
        <is>
          <t>Done — 6 providers (2 concerns parked, see DEFERRED D-A). Every UAT column declared as confirmed/inferred; UatSchemaProbe checks them at startup. ProviderContractTest runs with UAT OFF and asserts fact names match the tables. 111/111 green.</t>
        </is>
      </c>
      <c r="I47" s="37" t="n"/>
      <c r="J47" s="37" t="n"/>
    </row>
    <row r="48" ht="42.75" customHeight="1" s="23">
      <c r="A48" s="38" t="n">
        <v>47</v>
      </c>
      <c r="B48" s="37" t="inlineStr">
        <is>
          <t>Build</t>
        </is>
      </c>
      <c r="C48" s="37" t="inlineStr">
        <is>
          <t>Phase 4 — Fact providers and shared services</t>
        </is>
      </c>
      <c r="D48" s="40" t="inlineStr">
        <is>
          <t>Key outputMaintain a live signal-availability register as you go</t>
        </is>
      </c>
      <c r="E48" s="39" t="inlineStr">
        <is>
          <t>Per signal: verified / assumed / not available / exists elsewhere — and where the schema itself was guessed, say so. This register is the answer to whether Layer 6 is an integration or a build, and it is the POC's most reusable artifact. A signal that cannot be read becomes a mock with a recorded reason — never a quietly invented value.</t>
        </is>
      </c>
      <c r="F48" s="41" t="inlineStr">
        <is>
          <t>Key output</t>
        </is>
      </c>
      <c r="G48" s="37" t="inlineStr">
        <is>
          <t>Done</t>
        </is>
      </c>
      <c r="H48" s="37" t="inlineStr">
        <is>
          <t>Done — docs/SIGNAL-REGISTER.md + SignalRegisterTest. 113/113 green. FINDING: 11 of the 26 rules on active concerns cannot fire today because a signal they read is never populated. With UAT off only FORGET_MPIN resolves (738 of 9,542/month, 7.7%). GATE: TRANSPORT_AUTO_CREDIT must stay off while computedAmountPaise is absent — the Rs300 cap cannot fire.</t>
        </is>
      </c>
      <c r="I48" s="37" t="n"/>
      <c r="J48" s="37" t="n"/>
    </row>
    <row r="49" ht="23.25" customHeight="1" s="23">
      <c r="A49" s="38" t="n">
        <v>48</v>
      </c>
      <c r="B49" s="37" t="inlineStr">
        <is>
          <t>Build</t>
        </is>
      </c>
      <c r="C49" s="37" t="inlineStr">
        <is>
          <t>Phase 5 — Decision tables</t>
        </is>
      </c>
      <c r="D49" s="37" t="inlineStr">
        <is>
          <t>Author one .dmn per concern, hit policy FIRST, from the generated rule rows</t>
        </is>
      </c>
      <c r="E49" s="39" t="n"/>
      <c r="F49" s="37" t="inlineStr">
        <is>
          <t>Task</t>
        </is>
      </c>
      <c r="G49" s="37" t="inlineStr">
        <is>
          <t>Done</t>
        </is>
      </c>
      <c r="H49" s="37" t="inlineStr">
        <is>
          <t>Done — 8 .dmn files, hitPolicy FIRST, 32 rows (26 mapping + 5 catch-alls + 1 added)</t>
        </is>
      </c>
      <c r="I49" s="37" t="n"/>
      <c r="J49" s="37" t="n"/>
    </row>
    <row r="50" ht="42.75" customHeight="1" s="23">
      <c r="A50" s="38" t="n">
        <v>49</v>
      </c>
      <c r="B50" s="37" t="inlineStr">
        <is>
          <t>Build</t>
        </is>
      </c>
      <c r="C50" s="37" t="inlineStr">
        <is>
          <t>Phase 5 — Decision tables</t>
        </is>
      </c>
      <c r="D50" s="37" t="inlineStr">
        <is>
          <t>Implement the derived Transport path selector as a single named fact</t>
        </is>
      </c>
      <c r="E50" s="39" t="inlineStr">
        <is>
          <t>transportPath, computed by TransportFactProvider, fed to the table as an input column. Charge-not-credited → Path 1; cancelled → Path 2; outside hub radius → Path 3; otherwise no entitlement. Mark it as an assumption in code and in the register. When the real rule arrives it is one method and one column.</t>
        </is>
      </c>
      <c r="F50" s="37" t="inlineStr">
        <is>
          <t>Task</t>
        </is>
      </c>
      <c r="G50" s="37" t="inlineStr">
        <is>
          <t>Done</t>
        </is>
      </c>
      <c r="H50" s="37" t="inlineStr">
        <is>
          <t>Done — TransportPathSelector, own class + own test. STILL AN ASSUMPTION</t>
        </is>
      </c>
      <c r="I50" s="37" t="n"/>
      <c r="J50" s="37" t="n"/>
    </row>
    <row r="51" ht="21.75" customHeight="1" s="23">
      <c r="A51" s="38" t="n">
        <v>50</v>
      </c>
      <c r="B51" s="37" t="inlineStr">
        <is>
          <t>Build</t>
        </is>
      </c>
      <c r="C51" s="37" t="inlineStr">
        <is>
          <t>Phase 5 — Decision tables</t>
        </is>
      </c>
      <c r="D51" s="37" t="inlineStr">
        <is>
          <t>Add a terminal catch-all row to every table</t>
        </is>
      </c>
      <c r="E51" s="39" t="inlineStr">
        <is>
          <t>Thirteen concerns in the mapping have no default branch. Under FIRST, a case matching no row returns nothing and the gateway has nowhere to go.</t>
        </is>
      </c>
      <c r="F51" s="37" t="inlineStr">
        <is>
          <t>Task</t>
        </is>
      </c>
      <c r="G51" s="37" t="inlineStr">
        <is>
          <t>Done</t>
        </is>
      </c>
      <c r="H51" s="37" t="inlineStr">
        <is>
          <t>Done — catch-all last in every table; DecisionService throws on a null result</t>
        </is>
      </c>
      <c r="I51" s="37" t="n"/>
      <c r="J51" s="37" t="n"/>
    </row>
    <row r="52" ht="23.25" customHeight="1" s="23">
      <c r="A52" s="38" t="n">
        <v>51</v>
      </c>
      <c r="B52" s="37" t="inlineStr">
        <is>
          <t>Build</t>
        </is>
      </c>
      <c r="C52" s="37" t="inlineStr">
        <is>
          <t>Phase 5 — Decision tables</t>
        </is>
      </c>
      <c r="D52" s="37" t="inlineStr">
        <is>
          <t>Move every threshold into the table: Rs300, Rs50/km, 11 PM, the cycle allowances</t>
        </is>
      </c>
      <c r="E52" s="39" t="inlineStr">
        <is>
          <t>No numeric constant from the caps register belongs in Java.</t>
        </is>
      </c>
      <c r="F52" s="37" t="inlineStr">
        <is>
          <t>Task</t>
        </is>
      </c>
      <c r="G52" s="37" t="inlineStr">
        <is>
          <t>Done</t>
        </is>
      </c>
      <c r="H52" s="37" t="inlineStr">
        <is>
          <t>Done — Rs300, Rs50/km, 1 period leave/month, 1 product allowance/cycle, 0.7 floor all in-table</t>
        </is>
      </c>
      <c r="I52" s="37" t="n"/>
      <c r="J52" s="37" t="n"/>
    </row>
    <row r="53" ht="34.5" customHeight="1" s="23">
      <c r="A53" s="38" t="n">
        <v>52</v>
      </c>
      <c r="B53" s="37" t="inlineStr">
        <is>
          <t>Build</t>
        </is>
      </c>
      <c r="C53" s="37" t="inlineStr">
        <is>
          <t>Phase 5 — Decision tables</t>
        </is>
      </c>
      <c r="D53" s="40" t="inlineStr">
        <is>
          <t>CheckpointA test per rule, feeding fact maps straight to DmnDecisionService — 26 rules, 26 assertions, plus one per catch-all</t>
        </is>
      </c>
      <c r="E53" s="39" t="n"/>
      <c r="F53" s="41" t="inlineStr">
        <is>
          <t>Checkpoint</t>
        </is>
      </c>
      <c r="G53" s="37" t="inlineStr">
        <is>
          <t>Done</t>
        </is>
      </c>
      <c r="H53" s="37" t="inlineStr">
        <is>
          <t>Done — CHECKPOINT PASSED. 70/70 green. Found 2 row-order defects in money rules.</t>
        </is>
      </c>
      <c r="I53" s="37" t="n"/>
      <c r="J53" s="37" t="n"/>
    </row>
    <row r="54" ht="23.25" customHeight="1" s="23">
      <c r="A54" s="38" t="n">
        <v>53</v>
      </c>
      <c r="B54" s="37" t="inlineStr">
        <is>
          <t>Build</t>
        </is>
      </c>
      <c r="C54" s="37" t="inlineStr">
        <is>
          <t>Phase 6 — The anchor concern — Transport</t>
        </is>
      </c>
      <c r="D54" s="37" t="inlineStr">
        <is>
          <t>BPMN: start → fetch facts → business rule → gateway on tier → gateway on flag → action → finalize</t>
        </is>
      </c>
      <c r="E54" s="39" t="n"/>
      <c r="F54" s="37" t="inlineStr">
        <is>
          <t>Task</t>
        </is>
      </c>
      <c r="G54" s="37" t="inlineStr">
        <is>
          <t>Parked</t>
        </is>
      </c>
      <c r="H54" s="37" t="inlineStr">
        <is>
          <t>PARKED - to be done last, by agreement. D-B (Rs50/km from the radius EDGE) and D-C (the path selector) are now CLOSED by the Decision Matrix. What remains: N2 - which unassign_status_code is NR vs CR (NR auto-credits, CR denies) - plus wiring the job lat/long behind cs_address, and the mock credit service at step 55.</t>
        </is>
      </c>
      <c r="I54" s="37" t="n"/>
      <c r="J54" s="37" t="n"/>
    </row>
    <row r="55" ht="23.25" customHeight="1" s="23">
      <c r="A55" s="38" t="n">
        <v>54</v>
      </c>
      <c r="B55" s="37" t="inlineStr">
        <is>
          <t>Build</t>
        </is>
      </c>
      <c r="C55" s="37" t="inlineStr">
        <is>
          <t>Phase 6 — The anchor concern — Transport</t>
        </is>
      </c>
      <c r="D55" s="37" t="inlineStr">
        <is>
          <t>Order-ID capture step before facts are fetched</t>
        </is>
      </c>
      <c r="E55" s="39" t="n"/>
      <c r="F55" s="37" t="inlineStr">
        <is>
          <t>Task</t>
        </is>
      </c>
      <c r="G55" s="37" t="inlineStr">
        <is>
          <t>Parked</t>
        </is>
      </c>
      <c r="H55" s="37" t="inlineStr">
        <is>
          <t>PARKED - to be done last, by agreement. D-B (Rs50/km from the radius EDGE) and D-C (the path selector) are now CLOSED by the Decision Matrix. What remains: N2 - which unassign_status_code is NR vs CR (NR auto-credits, CR denies) - plus wiring the job lat/long behind cs_address, and the mock credit service at step 55.</t>
        </is>
      </c>
      <c r="I55" s="37" t="n"/>
      <c r="J55" s="37" t="n"/>
    </row>
    <row r="56" ht="23.25" customHeight="1" s="23">
      <c r="A56" s="38" t="n">
        <v>55</v>
      </c>
      <c r="B56" s="37" t="inlineStr">
        <is>
          <t>Build</t>
        </is>
      </c>
      <c r="C56" s="37" t="inlineStr">
        <is>
          <t>Phase 6 — The anchor concern — Transport</t>
        </is>
      </c>
      <c r="D56" s="37" t="inlineStr">
        <is>
          <t>Mock TransportCreditService — writes to a mock ledger table, never to a real system</t>
        </is>
      </c>
      <c r="E56" s="39" t="n"/>
      <c r="F56" s="37" t="inlineStr">
        <is>
          <t>Task</t>
        </is>
      </c>
      <c r="G56" s="37" t="inlineStr">
        <is>
          <t>Parked</t>
        </is>
      </c>
      <c r="H56" s="37" t="inlineStr">
        <is>
          <t>PARKED - to be done last, by agreement. D-B (Rs50/km from the radius EDGE) and D-C (the path selector) are now CLOSED by the Decision Matrix. What remains: N2 - which unassign_status_code is NR vs CR (NR auto-credits, CR denies) - plus wiring the job lat/long behind cs_address, and the mock credit service at step 55.</t>
        </is>
      </c>
      <c r="I56" s="37" t="n"/>
      <c r="J56" s="37" t="n"/>
    </row>
    <row r="57" ht="23.25" customHeight="1" s="23">
      <c r="A57" s="38" t="n">
        <v>56</v>
      </c>
      <c r="B57" s="37" t="inlineStr">
        <is>
          <t>Build</t>
        </is>
      </c>
      <c r="C57" s="37" t="inlineStr">
        <is>
          <t>Phase 6 — The anchor concern — Transport</t>
        </is>
      </c>
      <c r="D57" s="37" t="inlineStr">
        <is>
          <t>Response templates keyed by DMN action, one per outcome</t>
        </is>
      </c>
      <c r="E57" s="39" t="inlineStr">
        <is>
          <t>Nine rules produce six distinct messages. Templates are files, not string literals, and no model writes any of them.</t>
        </is>
      </c>
      <c r="F57" s="37" t="inlineStr">
        <is>
          <t>Task</t>
        </is>
      </c>
      <c r="G57" s="37" t="inlineStr">
        <is>
          <t>Parked</t>
        </is>
      </c>
      <c r="H57" s="37" t="inlineStr">
        <is>
          <t>PARKED - to be done last, by agreement. D-B (Rs50/km from the radius EDGE) and D-C (the path selector) are now CLOSED by the Decision Matrix. What remains: N2 - which unassign_status_code is NR vs CR (NR auto-credits, CR denies) - plus wiring the job lat/long behind cs_address, and the mock credit service at step 55.</t>
        </is>
      </c>
      <c r="I57" s="37" t="n"/>
      <c r="J57" s="37" t="n"/>
    </row>
    <row r="58" ht="23.25" customHeight="1" s="23">
      <c r="A58" s="38" t="n">
        <v>57</v>
      </c>
      <c r="B58" s="37" t="inlineStr">
        <is>
          <t>Build</t>
        </is>
      </c>
      <c r="C58" s="37" t="inlineStr">
        <is>
          <t>Phase 6 — The anchor concern — Transport</t>
        </is>
      </c>
      <c r="D58" s="40" t="inlineStr">
        <is>
          <t>Major checkpointAll nine transport rules driven end to end by API call, each landing on its expected outcome</t>
        </is>
      </c>
      <c r="E58" s="39" t="n"/>
      <c r="F58" s="41" t="inlineStr">
        <is>
          <t>Major checkpoint</t>
        </is>
      </c>
      <c r="G58" s="37" t="inlineStr">
        <is>
          <t>Parked</t>
        </is>
      </c>
      <c r="H58" s="37" t="inlineStr">
        <is>
          <t>PARKED - to be done last, by agreement. D-B (Rs50/km from the radius EDGE) and D-C (the path selector) are now CLOSED by the Decision Matrix. What remains: N2 - which unassign_status_code is NR vs CR (NR auto-credits, CR denies) - plus wiring the job lat/long behind cs_address, and the mock credit service at step 55.</t>
        </is>
      </c>
      <c r="I58" s="37" t="n"/>
      <c r="J58" s="37" t="n"/>
    </row>
    <row r="59" ht="34.5" customHeight="1" s="23">
      <c r="A59" s="38" t="n">
        <v>58</v>
      </c>
      <c r="B59" s="37" t="inlineStr">
        <is>
          <t>Build</t>
        </is>
      </c>
      <c r="C59" s="37" t="inlineStr">
        <is>
          <t>Phase 7 — Money safety</t>
        </is>
      </c>
      <c r="D59" s="40" t="inlineStr">
        <is>
          <t>TestRollback: record attempt → simulate a successful external call → throw from a later delegate → assert the Flowable transaction rolled back and the ticket_action row survived</t>
        </is>
      </c>
      <c r="E59" s="39" t="n"/>
      <c r="F59" s="41" t="inlineStr">
        <is>
          <t>Test</t>
        </is>
      </c>
      <c r="G59" s="37" t="inlineStr">
        <is>
          <t>Done</t>
        </is>
      </c>
      <c r="H59" s="37" t="inlineStr">
        <is>
          <t>Done — TicketActionRecorderTest: 'the ATTEMPTED row survives a rollback of the calling transaction', plus the negative test from spike 3 (remove REQUIRES_NEW and the row vanishes), so the test has teeth. Proven for the RECHARGE path in Phase 12a; the mechanism is concern-independent.</t>
        </is>
      </c>
      <c r="I59" s="37" t="n"/>
      <c r="J59" s="37" t="n"/>
    </row>
    <row r="60" ht="23.25" customHeight="1" s="23">
      <c r="A60" s="38" t="n">
        <v>59</v>
      </c>
      <c r="B60" s="37" t="inlineStr">
        <is>
          <t>Build</t>
        </is>
      </c>
      <c r="C60" s="37" t="inlineStr">
        <is>
          <t>Phase 7 — Money safety</t>
        </is>
      </c>
      <c r="D60" s="40" t="inlineStr">
        <is>
          <t>TestIdempotency: fire the identical credit twice → one ledger entry, second short-circuits on the unique key</t>
        </is>
      </c>
      <c r="E60" s="39" t="n"/>
      <c r="F60" s="41" t="inlineStr">
        <is>
          <t>Test</t>
        </is>
      </c>
      <c r="G60" s="37" t="inlineStr">
        <is>
          <t>Done</t>
        </is>
      </c>
      <c r="H60" s="37" t="inlineStr">
        <is>
          <t>Done — MockPayUGateway + MoneyPathTest: the same order raised in a NEW session pays once. Two tickets (correctly — two contacts), one attempt row, one payment. Keyed on the gateway's order id, not our ticket id, which is what makes it collide across sessions and restarts.</t>
        </is>
      </c>
      <c r="I60" s="37" t="n"/>
      <c r="J60" s="37" t="n"/>
    </row>
    <row r="61" ht="23.25" customHeight="1" s="23">
      <c r="A61" s="38" t="n">
        <v>60</v>
      </c>
      <c r="B61" s="37" t="inlineStr">
        <is>
          <t>Build</t>
        </is>
      </c>
      <c r="C61" s="37" t="inlineStr">
        <is>
          <t>Phase 7 — Money safety</t>
        </is>
      </c>
      <c r="D61" s="40" t="inlineStr">
        <is>
          <t>TestCap: a case computing above Rs300 produces a ticket and moves no money at all</t>
        </is>
      </c>
      <c r="E61" s="39" t="inlineStr">
        <is>
          <t>The failure mode to rule out is a clamped Rs300 payment. The rule says escalate, not cap-and-pay.</t>
        </is>
      </c>
      <c r="F61" s="41" t="inlineStr">
        <is>
          <t>Test</t>
        </is>
      </c>
      <c r="G61" s="37" t="inlineStr">
        <is>
          <t>Done</t>
        </is>
      </c>
      <c r="H61" s="37" t="inlineStr">
        <is>
          <t>Done — the cap escalates rather than clamping. DmnHotRedeployTest proves the rule fires (T3 / TICKET_EXCEEDS_CAP / TICKET); DemoFixturesTest drives it from a fixture order at Rs450. Clamping to Rs300 would be a silent underpayment nobody ever sees.</t>
        </is>
      </c>
      <c r="I61" s="37" t="n"/>
      <c r="J61" s="37" t="n"/>
    </row>
    <row r="62" ht="23.25" customHeight="1" s="23">
      <c r="A62" s="38" t="n">
        <v>61</v>
      </c>
      <c r="B62" s="37" t="inlineStr">
        <is>
          <t>Build</t>
        </is>
      </c>
      <c r="C62" s="37" t="inlineStr">
        <is>
          <t>Phase 7 — Money safety</t>
        </is>
      </c>
      <c r="D62" s="37" t="inlineStr">
        <is>
          <t>Reconciliation job: sum ticket_action credits against the mock ledger, alert on any mismatch</t>
        </is>
      </c>
      <c r="E62" s="39" t="n"/>
      <c r="F62" s="37" t="inlineStr">
        <is>
          <t>Task</t>
        </is>
      </c>
      <c r="G62" s="37" t="inlineStr">
        <is>
          <t>Done</t>
        </is>
      </c>
      <c r="H62" s="37" t="inlineStr">
        <is>
          <t>Done — ReconciliationService. Reads BOTH directions, and they are not equally interesting: 'we say we paid, the gateway did not' is bad but visible (a partner complains). 'The gateway paid, we have no record' is worse and SILENT — nobody complains about money they received, and no amount of reading our own tables would ever show it. It reports and corrects nothing: a job that fixes what it finds is a second, unsupervised payment path running on exactly the cases nobody understood the first time. FOUND A REAL BUG: amount_paise existed on ticket_action since the first migration and NOTHING EVER WROTE IT — every row said a credit succeeded and none said how much. Invisible until something tried to sum them. 223/223 green.</t>
        </is>
      </c>
      <c r="I62" s="37" t="n"/>
      <c r="J62" s="37" t="n"/>
    </row>
    <row r="63" ht="23.25" customHeight="1" s="23">
      <c r="A63" s="38" t="n">
        <v>62</v>
      </c>
      <c r="B63" s="37" t="inlineStr">
        <is>
          <t>Build</t>
        </is>
      </c>
      <c r="C63" s="37" t="inlineStr">
        <is>
          <t>Phase 8 — Violations — state change without money</t>
        </is>
      </c>
      <c r="D63" s="37" t="inlineStr">
        <is>
          <t>VIOL_R5_PERIODS: violation lookup, monthly counter, two outcomes</t>
        </is>
      </c>
      <c r="E63" s="39" t="n"/>
      <c r="F63" s="37" t="inlineStr">
        <is>
          <t>Task</t>
        </is>
      </c>
      <c r="G63" s="37" t="inlineStr">
        <is>
          <t>Out of scope</t>
        </is>
      </c>
      <c r="H63" s="37" t="inlineStr">
        <is>
          <t>OUT OF POC SCOPE, 15 Sept. The R1-R13 sub-reason could not be located in the schema; building on a guess would have auto-removed unchecked violations. Not blocked - nobody needs to answer anything. Tables and tests kept. See docs/SCOPE-VIOLATIONS-OUT.md</t>
        </is>
      </c>
      <c r="I63" s="37" t="n"/>
      <c r="J63" s="37" t="n"/>
    </row>
    <row r="64" ht="32.25" customHeight="1" s="23">
      <c r="A64" s="38" t="n">
        <v>63</v>
      </c>
      <c r="B64" s="37" t="inlineStr">
        <is>
          <t>Build</t>
        </is>
      </c>
      <c r="C64" s="37" t="inlineStr">
        <is>
          <t>Phase 8 — Violations — state change without money</t>
        </is>
      </c>
      <c r="D64" s="37" t="inlineStr">
        <is>
          <t>Mock ViolationService.remove()</t>
        </is>
      </c>
      <c r="E64" s="39" t="inlineStr">
        <is>
          <t>The bot removes a violation. It never removes a strike. The mock must model the backend recomputing the strike once no violations remain for that day — otherwise the POC teaches the wrong contract.</t>
        </is>
      </c>
      <c r="F64" s="37" t="inlineStr">
        <is>
          <t>Task</t>
        </is>
      </c>
      <c r="G64" s="37" t="inlineStr">
        <is>
          <t>Out of scope</t>
        </is>
      </c>
      <c r="H64" s="37" t="inlineStr">
        <is>
          <t>OUT OF POC SCOPE, 15 Sept. The R1-R13 sub-reason could not be located in the schema; building on a guess would have auto-removed unchecked violations. Not blocked - nobody needs to answer anything. Tables and tests kept. See docs/SCOPE-VIOLATIONS-OUT.md</t>
        </is>
      </c>
      <c r="I64" s="37" t="n"/>
      <c r="J64" s="37" t="n"/>
    </row>
    <row r="65" ht="23.25" customHeight="1" s="23">
      <c r="A65" s="38" t="n">
        <v>64</v>
      </c>
      <c r="B65" s="37" t="inlineStr">
        <is>
          <t>Build</t>
        </is>
      </c>
      <c r="C65" s="37" t="inlineStr">
        <is>
          <t>Phase 8 — Violations — state change without money</t>
        </is>
      </c>
      <c r="D65" s="37" t="inlineStr">
        <is>
          <t>UPHOLD as a first-class outcome, with its own template class</t>
        </is>
      </c>
      <c r="E65" s="39" t="inlineStr">
        <is>
          <t>Not a T1 answer. It is the rejection of an appeal — the case most likely to produce a dissatisfied partner.</t>
        </is>
      </c>
      <c r="F65" s="37" t="inlineStr">
        <is>
          <t>Task</t>
        </is>
      </c>
      <c r="G65" s="37" t="inlineStr">
        <is>
          <t>Out of scope</t>
        </is>
      </c>
      <c r="H65" s="37" t="inlineStr">
        <is>
          <t>OUT OF POC SCOPE, 15 Sept. The R1-R13 sub-reason could not be located in the schema; building on a guess would have auto-removed unchecked violations. Not blocked - nobody needs to answer anything. Tables and tests kept. See docs/SCOPE-VIOLATIONS-OUT.md</t>
        </is>
      </c>
      <c r="I65" s="37" t="n"/>
      <c r="J65" s="37" t="n"/>
    </row>
    <row r="66" ht="23.25" customHeight="1" s="23">
      <c r="A66" s="38" t="n">
        <v>65</v>
      </c>
      <c r="B66" s="37" t="inlineStr">
        <is>
          <t>Build</t>
        </is>
      </c>
      <c r="C66" s="37" t="inlineStr">
        <is>
          <t>Phase 8 — Violations — state change without money</t>
        </is>
      </c>
      <c r="D66" s="37" t="inlineStr">
        <is>
          <t>VIOL_R9_NO_PRODUCT, reusing the TAT service from step 43</t>
        </is>
      </c>
      <c r="E66" s="39" t="n"/>
      <c r="F66" s="37" t="inlineStr">
        <is>
          <t>Task</t>
        </is>
      </c>
      <c r="G66" s="37" t="inlineStr">
        <is>
          <t>Out of scope</t>
        </is>
      </c>
      <c r="H66" s="37" t="inlineStr">
        <is>
          <t>OUT OF POC SCOPE, 15 Sept. The R1-R13 sub-reason could not be located in the schema; building on a guess would have auto-removed unchecked violations. Not blocked - nobody needs to answer anything. Tables and tests kept. See docs/SCOPE-VIOLATIONS-OUT.md</t>
        </is>
      </c>
      <c r="I66" s="37" t="n"/>
      <c r="J66" s="37" t="n"/>
    </row>
    <row r="67" ht="23.25" customHeight="1" s="23">
      <c r="A67" s="38" t="n">
        <v>66</v>
      </c>
      <c r="B67" s="37" t="inlineStr">
        <is>
          <t>Build</t>
        </is>
      </c>
      <c r="C67" s="37" t="inlineStr">
        <is>
          <t>Phase 8 — Violations — state change without money</t>
        </is>
      </c>
      <c r="D67" s="40" t="inlineStr">
        <is>
          <t>CheckpointChange the TAT rule once; assert both PROD_DELIVERY_DELAY and VIOL_R9 change together</t>
        </is>
      </c>
      <c r="E67" s="39" t="inlineStr">
        <is>
          <t>This is the shared-service claim, tested rather than asserted.</t>
        </is>
      </c>
      <c r="F67" s="41" t="inlineStr">
        <is>
          <t>Checkpoint</t>
        </is>
      </c>
      <c r="G67" s="37" t="inlineStr">
        <is>
          <t>Out of scope</t>
        </is>
      </c>
      <c r="H67" s="37" t="inlineStr">
        <is>
          <t>OUT OF POC SCOPE, 15 Sept. The R1-R13 sub-reason could not be located in the schema; building on a guess would have auto-removed unchecked violations. Not blocked - nobody needs to answer anything. Tables and tests kept. See docs/SCOPE-VIOLATIONS-OUT.md</t>
        </is>
      </c>
      <c r="I67" s="37" t="n"/>
      <c r="J67" s="37" t="n"/>
    </row>
    <row r="68" ht="23.25" customHeight="1" s="23">
      <c r="A68" s="38" t="n">
        <v>67</v>
      </c>
      <c r="B68" s="37" t="inlineStr">
        <is>
          <t>Build</t>
        </is>
      </c>
      <c r="C68" s="37" t="inlineStr">
        <is>
          <t>Phase 8 — Violations — state change without money</t>
        </is>
      </c>
      <c r="D68" s="37" t="inlineStr">
        <is>
          <t>Counter test: second period leave in a month upholds; the counter resets at the boundary</t>
        </is>
      </c>
      <c r="E68" s="39" t="n"/>
      <c r="F68" s="37" t="inlineStr">
        <is>
          <t>Task</t>
        </is>
      </c>
      <c r="G68" s="37" t="inlineStr">
        <is>
          <t>Out of scope</t>
        </is>
      </c>
      <c r="H68" s="37" t="inlineStr">
        <is>
          <t>OUT OF POC SCOPE, 15 Sept. The R1-R13 sub-reason could not be located in the schema; building on a guess would have auto-removed unchecked violations. Not blocked - nobody needs to answer anything. Tables and tests kept. See docs/SCOPE-VIOLATIONS-OUT.md</t>
        </is>
      </c>
      <c r="I68" s="37" t="n"/>
      <c r="J68" s="37" t="n"/>
    </row>
    <row r="69" ht="15" customHeight="1" s="23">
      <c r="A69" s="38" t="n">
        <v>68</v>
      </c>
      <c r="B69" s="37" t="inlineStr">
        <is>
          <t>Build</t>
        </is>
      </c>
      <c r="C69" s="37" t="inlineStr">
        <is>
          <t>Phase 9 — Agent connect</t>
        </is>
      </c>
      <c r="D69" s="37" t="inlineStr">
        <is>
          <t>T3 branch ends on a User Task in a named queue</t>
        </is>
      </c>
      <c r="E69" s="39" t="n"/>
      <c r="F69" s="37" t="inlineStr">
        <is>
          <t>Task</t>
        </is>
      </c>
      <c r="G69" s="37" t="inlineStr">
        <is>
          <t>Done</t>
        </is>
      </c>
      <c r="H69" s="37" t="inlineStr">
        <is>
          <t>Done — userTask agentConnect in concern-generic.bpmn20.xml, candidate group from a process variable. 128/128 green.</t>
        </is>
      </c>
      <c r="I69" s="37" t="n"/>
      <c r="J69" s="37" t="n"/>
    </row>
    <row r="70" ht="23.25" customHeight="1" s="23">
      <c r="A70" s="38" t="n">
        <v>69</v>
      </c>
      <c r="B70" s="37" t="inlineStr">
        <is>
          <t>Build</t>
        </is>
      </c>
      <c r="C70" s="37" t="inlineStr">
        <is>
          <t>Phase 9 — Agent connect</t>
        </is>
      </c>
      <c r="D70" s="37" t="inlineStr">
        <is>
          <t>escalationContextDelegate writes the snapshot: concern, facts, which rule fired, prior actions</t>
        </is>
      </c>
      <c r="E70" s="39" t="n"/>
      <c r="F70" s="37" t="inlineStr">
        <is>
          <t>Task</t>
        </is>
      </c>
      <c r="G70" s="37" t="inlineStr">
        <is>
          <t>Done</t>
        </is>
      </c>
      <c r="H70" s="37" t="inlineStr">
        <is>
          <t>Done — EscalationContextDelegate. Facts + tier + action + recent tickets + prior ATTEMPTED actions, written before the wait and never recomputed. New trigger_reason value CONCERN for a table-driven T3.</t>
        </is>
      </c>
      <c r="I70" s="37" t="n"/>
      <c r="J70" s="37" t="n"/>
    </row>
    <row r="71" ht="34.5" customHeight="1" s="23">
      <c r="A71" s="38" t="n">
        <v>70</v>
      </c>
      <c r="B71" s="37" t="inlineStr">
        <is>
          <t>Build</t>
        </is>
      </c>
      <c r="C71" s="37" t="inlineStr">
        <is>
          <t>Phase 9 — Agent connect</t>
        </is>
      </c>
      <c r="D71" s="37" t="inlineStr">
        <is>
          <t>Agent API: GET /agent/tasks, POST /agent/tasks/{id}/claim, GET /tickets/{id}/escalation-context, GET /tickets/{id}/conversation, POST /agent/tasks/{id}/complete</t>
        </is>
      </c>
      <c r="E71" s="39" t="inlineStr">
        <is>
          <t>Chat handoff, not a call. The ticket waits in a queue; an agent picks it up. No telephony anywhere in the POC.</t>
        </is>
      </c>
      <c r="F71" s="37" t="inlineStr">
        <is>
          <t>Task</t>
        </is>
      </c>
      <c r="G71" s="37" t="inlineStr">
        <is>
          <t>Done</t>
        </is>
      </c>
      <c r="H71" s="37" t="inlineStr">
        <is>
          <t>Done — GET /agent/tasks, POST claim, POST complete, GET /tickets/{id}/escalation-context. The queue IS the Flowable task store. Not authenticated (D-7).</t>
        </is>
      </c>
      <c r="I71" s="37" t="n"/>
      <c r="J71" s="37" t="n"/>
    </row>
    <row r="72" ht="23.25" customHeight="1" s="23">
      <c r="A72" s="38" t="n">
        <v>71</v>
      </c>
      <c r="B72" s="37" t="inlineStr">
        <is>
          <t>Build</t>
        </is>
      </c>
      <c r="C72" s="37" t="inlineStr">
        <is>
          <t>Phase 9 — Agent connect</t>
        </is>
      </c>
      <c r="D72" s="40" t="inlineStr">
        <is>
          <t>The restart testReach a User Task → kill the JVM → restart → claim and complete → the process resumes and finishes</t>
        </is>
      </c>
      <c r="E72" s="39" t="inlineStr">
        <is>
          <t>If this fails, stop. The entire reason for embedding a process engine collapses, and the design needs rethinking before anything else is built.</t>
        </is>
      </c>
      <c r="F72" s="41" t="inlineStr">
        <is>
          <t>The restart test</t>
        </is>
      </c>
      <c r="G72" s="37" t="inlineStr">
        <is>
          <t>Done</t>
        </is>
      </c>
      <c r="H72" s="37" t="inlineStr">
        <is>
          <t>Done — asserted in-process: task, variables and ticketId read back from ACT_RU_* holding nothing from the originating request. JVM-kill evidence is spike 1.</t>
        </is>
      </c>
      <c r="I72" s="37" t="n"/>
      <c r="J72" s="37" t="n"/>
    </row>
    <row r="73" ht="15" customHeight="1" s="23">
      <c r="A73" s="38" t="n">
        <v>72</v>
      </c>
      <c r="B73" s="37" t="inlineStr">
        <is>
          <t>Build</t>
        </is>
      </c>
      <c r="C73" s="37" t="inlineStr">
        <is>
          <t>Phase 9 — Agent connect</t>
        </is>
      </c>
      <c r="D73" s="37" t="inlineStr">
        <is>
          <t>Agent completion writes back to the ticket and closes the session</t>
        </is>
      </c>
      <c r="E73" s="39" t="n"/>
      <c r="F73" s="37" t="inlineStr">
        <is>
          <t>Task</t>
        </is>
      </c>
      <c r="G73" s="37" t="inlineStr">
        <is>
          <t>Done</t>
        </is>
      </c>
      <c r="H73" s="37" t="inlineStr">
        <is>
          <t>Done — completion wakes the process; the process closes the ticket and session. Agent note reaches the partner verbatim.</t>
        </is>
      </c>
      <c r="I73" s="37" t="n"/>
      <c r="J73" s="37" t="n"/>
    </row>
    <row r="74" ht="32.25" customHeight="1" s="23">
      <c r="A74" s="38" t="n">
        <v>73</v>
      </c>
      <c r="B74" s="37" t="inlineStr">
        <is>
          <t>Build</t>
        </is>
      </c>
      <c r="C74" s="37" t="inlineStr">
        <is>
          <t>Phase 10 — CSAT and the bounding rule</t>
        </is>
      </c>
      <c r="D74" s="37" t="inlineStr">
        <is>
          <t>Add csat as a nextStep type, emitted after every T0, T1 and T2 resolution</t>
        </is>
      </c>
      <c r="E74" s="39" t="inlineStr">
        <is>
          <t>T0 creates no ticket, so its answer lands on the session row. The PRD says CSAT closes "the ticket" in every case — for T0 there is no ticket. Store it on whichever row exists and flag the wording.</t>
        </is>
      </c>
      <c r="F74" s="37" t="inlineStr">
        <is>
          <t>Task</t>
        </is>
      </c>
      <c r="G74" s="37" t="inlineStr">
        <is>
          <t>Done</t>
        </is>
      </c>
      <c r="H74" s="37" t="inlineStr">
        <is>
          <t>Done — csatExpected + agentOffered on SessionView, POST /help/sessions/{id}/csat. Session stays CLOSED while the question is outstanding.</t>
        </is>
      </c>
      <c r="I74" s="37" t="n"/>
      <c r="J74" s="37" t="n"/>
    </row>
    <row r="75" ht="63.75" customHeight="1" s="23">
      <c r="A75" s="38" t="n">
        <v>74</v>
      </c>
      <c r="B75" s="37" t="inlineStr">
        <is>
          <t>Build</t>
        </is>
      </c>
      <c r="C75" s="37" t="inlineStr">
        <is>
          <t>Phase 10 — CSAT and the bounding rule</t>
        </is>
      </c>
      <c r="D75" s="40" t="inlineStr">
        <is>
          <t>DecisionChoose the mechanism and record why</t>
        </is>
      </c>
      <c r="E75" s="39" t="inlineStr">
        <is>
          <t>The process currently ends before CSAT is answered — finalizeDelegate completes the instance and its runtime row is deleted, so there is nothing left to resume. Either keep the instance alive on a Receive Task waiting for a CSAT event, or have CSAT = No start a second short process against the same ticket. Parked instances versus a split audit trail. This is O-15 in the Engineering Design, and the POC is where it gets settled because this codebase is the production seed.</t>
        </is>
      </c>
      <c r="F75" s="41" t="inlineStr">
        <is>
          <t>Decision</t>
        </is>
      </c>
      <c r="G75" s="37" t="inlineStr">
        <is>
          <t>Done</t>
        </is>
      </c>
      <c r="H75" s="37" t="inlineStr">
        <is>
          <t>Done — DECIDED, settles O-15: the instance completes and the answer arrives on its own endpoint. Holding it alive would charge runtime state to every T0/T1/T2 to serve the unhappy few, and would make the instance-completes property conditional.</t>
        </is>
      </c>
      <c r="I75" s="37" t="n"/>
      <c r="J75" s="37" t="n"/>
    </row>
    <row r="76" ht="23.25" customHeight="1" s="23">
      <c r="A76" s="38" t="n">
        <v>75</v>
      </c>
      <c r="B76" s="37" t="inlineStr">
        <is>
          <t>Build</t>
        </is>
      </c>
      <c r="C76" s="37" t="inlineStr">
        <is>
          <t>Phase 10 — CSAT and the bounding rule</t>
        </is>
      </c>
      <c r="D76" s="37" t="inlineStr">
        <is>
          <t>Implement it, with a boundary timer for "never answered"</t>
        </is>
      </c>
      <c r="E76" s="39" t="inlineStr">
        <is>
          <t>Most partners will not answer. The no-answer path is the default case, not the exception — build it first and the happy path second.</t>
        </is>
      </c>
      <c r="F76" s="37" t="inlineStr">
        <is>
          <t>Task</t>
        </is>
      </c>
      <c r="G76" s="37" t="inlineStr">
        <is>
          <t>Done</t>
        </is>
      </c>
      <c r="H76" s="37" t="inlineStr">
        <is>
          <t>Done — NO TIMER NEEDED. Nothing is held open, so nothing can time out. "Never answered" = csat_result stays null, countable in a report. One timer, one job and one class of stuck session removed.</t>
        </is>
      </c>
      <c r="I76" s="37" t="n"/>
      <c r="J76" s="37" t="n"/>
    </row>
    <row r="77" ht="23.25" customHeight="1" s="23">
      <c r="A77" s="38" t="n">
        <v>76</v>
      </c>
      <c r="B77" s="37" t="inlineStr">
        <is>
          <t>Build</t>
        </is>
      </c>
      <c r="C77" s="37" t="inlineStr">
        <is>
          <t>Phase 10 — CSAT and the bounding rule</t>
        </is>
      </c>
      <c r="D77" s="37" t="inlineStr">
        <is>
          <t>Trigger A — CSAT = No offers an agent, creating a T3 escalation against the same ticket</t>
        </is>
      </c>
      <c r="E77" s="39" t="n"/>
      <c r="F77" s="37" t="inlineStr">
        <is>
          <t>Task</t>
        </is>
      </c>
      <c r="G77" s="37" t="inlineStr">
        <is>
          <t>Done</t>
        </is>
      </c>
      <c r="H77" s="37" t="inlineStr">
        <is>
          <t>Done — trigger A. Escalates the SAME ticket where one exists; opens one where the resolution was a T0.</t>
        </is>
      </c>
      <c r="I77" s="37" t="n"/>
      <c r="J77" s="37" t="n"/>
    </row>
    <row r="78" ht="23.25" customHeight="1" s="23">
      <c r="A78" s="38" t="n">
        <v>77</v>
      </c>
      <c r="B78" s="37" t="inlineStr">
        <is>
          <t>Build</t>
        </is>
      </c>
      <c r="C78" s="37" t="inlineStr">
        <is>
          <t>Phase 10 — CSAT and the bounding rule</t>
        </is>
      </c>
      <c r="D78" s="37" t="inlineStr">
        <is>
          <t>The bounding rule — CSAT = Yes on a T0–T2 case suppresses the agent option entirely</t>
        </is>
      </c>
      <c r="E78" s="39" t="inlineStr">
        <is>
          <t>Enforced in ticket-closure logic, never by the client choosing not to render a button. A suppression rule the client can ignore is not a suppression rule.</t>
        </is>
      </c>
      <c r="F78" s="37" t="inlineStr">
        <is>
          <t>Task</t>
        </is>
      </c>
      <c r="G78" s="37" t="inlineStr">
        <is>
          <t>Done</t>
        </is>
      </c>
      <c r="H78" s="37" t="inlineStr">
        <is>
          <t>Done — the bounding rule, on SessionView.agentOffered, enforced in closure logic and never in the client.</t>
        </is>
      </c>
      <c r="I78" s="37" t="n"/>
      <c r="J78" s="37" t="n"/>
    </row>
    <row r="79" ht="23.25" customHeight="1" s="23">
      <c r="A79" s="38" t="n">
        <v>78</v>
      </c>
      <c r="B79" s="37" t="inlineStr">
        <is>
          <t>Build</t>
        </is>
      </c>
      <c r="C79" s="37" t="inlineStr">
        <is>
          <t>Phase 10 — CSAT and the bounding rule</t>
        </is>
      </c>
      <c r="D79" s="37" t="inlineStr">
        <is>
          <t>Trigger B exception — a concern flagged mandatory_human offers an agent regardless of the CSAT answer</t>
        </is>
      </c>
      <c r="E79" s="39" t="inlineStr">
        <is>
          <t>Only the CSAT exception is in POC scope. B's full pre-flight gate — routing to an agent before any facts are fetched — is not built here.</t>
        </is>
      </c>
      <c r="F79" s="37" t="inlineStr">
        <is>
          <t>Task</t>
        </is>
      </c>
      <c r="G79" s="37" t="inlineStr">
        <is>
          <t>Done</t>
        </is>
      </c>
      <c r="H79" s="37" t="inlineStr">
        <is>
          <t>Done — trigger B exception: a mandatory_human concern keeps the agent option whatever the partner answered.</t>
        </is>
      </c>
      <c r="I79" s="37" t="n"/>
      <c r="J79" s="37" t="n"/>
    </row>
    <row r="80" ht="23.25" customHeight="1" s="23">
      <c r="A80" s="38" t="n">
        <v>79</v>
      </c>
      <c r="B80" s="37" t="inlineStr">
        <is>
          <t>Build</t>
        </is>
      </c>
      <c r="C80" s="37" t="inlineStr">
        <is>
          <t>Phase 10 — CSAT and the bounding rule</t>
        </is>
      </c>
      <c r="D80" s="40" t="inlineStr">
        <is>
          <t>TestA satisfied T2 case returns no agent affordance at all in the response payload</t>
        </is>
      </c>
      <c r="E80" s="39" t="inlineStr">
        <is>
          <t>Assert on the payload, not the UI. If the field is present and merely false, a future client will render it.</t>
        </is>
      </c>
      <c r="F80" s="41" t="inlineStr">
        <is>
          <t>Test</t>
        </is>
      </c>
      <c r="G80" s="37" t="inlineStr">
        <is>
          <t>Done</t>
        </is>
      </c>
      <c r="H80" s="37" t="inlineStr">
        <is>
          <t>Done — a satisfied case returns agentOffered=false and creates no ticket.</t>
        </is>
      </c>
      <c r="I80" s="37" t="n"/>
      <c r="J80" s="37" t="n"/>
    </row>
    <row r="81" ht="23.25" customHeight="1" s="23">
      <c r="A81" s="38" t="n">
        <v>80</v>
      </c>
      <c r="B81" s="37" t="inlineStr">
        <is>
          <t>Build</t>
        </is>
      </c>
      <c r="C81" s="37" t="inlineStr">
        <is>
          <t>Phase 10 — CSAT and the bounding rule</t>
        </is>
      </c>
      <c r="D81" s="40" t="inlineStr">
        <is>
          <t>TestA dissatisfied T2 case offers an agent, the task appears in the queue, and the context endpoint serves it</t>
        </is>
      </c>
      <c r="E81" s="39" t="n"/>
      <c r="F81" s="41" t="inlineStr">
        <is>
          <t>Test</t>
        </is>
      </c>
      <c r="G81" s="37" t="inlineStr">
        <is>
          <t>Done</t>
        </is>
      </c>
      <c r="H81" s="37" t="inlineStr">
        <is>
          <t>Done — a dissatisfied case escalates, appears in the agent queue with triggerReason A, and the context endpoint carries the exact answer the partner rejected.</t>
        </is>
      </c>
      <c r="I81" s="37" t="n"/>
      <c r="J81" s="37" t="n"/>
    </row>
    <row r="82" ht="23.25" customHeight="1" s="23">
      <c r="A82" s="38" t="n">
        <v>81</v>
      </c>
      <c r="B82" s="37" t="inlineStr">
        <is>
          <t>Build</t>
        </is>
      </c>
      <c r="C82" s="37" t="inlineStr">
        <is>
          <t>Phase 10 — CSAT and the bounding rule</t>
        </is>
      </c>
      <c r="D82" s="37" t="inlineStr">
        <is>
          <t>Record the CSAT response rate and the trigger-A rate from the demo run</t>
        </is>
      </c>
      <c r="E82" s="39" t="inlineStr">
        <is>
          <t>These two numbers are what the bounding rule protects. Without them the 10–20% agent-connect ceiling cannot be verified even in principle.</t>
        </is>
      </c>
      <c r="F82" s="37" t="inlineStr">
        <is>
          <t>Task</t>
        </is>
      </c>
      <c r="G82" s="37" t="inlineStr">
        <is>
          <t>Not started</t>
        </is>
      </c>
      <c r="H82" s="37" t="inlineStr">
        <is>
          <t>Gated on step 95 — there is no demo run to measure yet. The mechanism is built and tested; this step is reading numbers off it.</t>
        </is>
      </c>
      <c r="I82" s="37" t="n"/>
      <c r="J82" s="37" t="n"/>
    </row>
    <row r="83" ht="23.25" customHeight="1" s="23">
      <c r="A83" s="38" t="n">
        <v>82</v>
      </c>
      <c r="B83" s="37" t="inlineStr">
        <is>
          <t>Build</t>
        </is>
      </c>
      <c r="C83" s="37" t="inlineStr">
        <is>
          <t>Phase 11 — Free text and reroute</t>
        </is>
      </c>
      <c r="D83" s="37" t="inlineStr">
        <is>
          <t>Python service: POST /classify and POST /classify-intent, Pydantic-validated, no database credentials</t>
        </is>
      </c>
      <c r="E83" s="39" t="n"/>
      <c r="F83" s="37" t="inlineStr">
        <is>
          <t>Task</t>
        </is>
      </c>
      <c r="G83" s="37" t="inlineStr">
        <is>
          <t>Done</t>
        </is>
      </c>
      <c r="H83" s="37" t="inlineStr">
        <is>
          <t>Done — FastAPI + Pydantic, /classify and /classify-intent, closed enums, bounded confidence, no DB and no identifiers. No model wired in; classify_text is a placeholder and the contract around it is real.</t>
        </is>
      </c>
      <c r="I83" s="37" t="n"/>
      <c r="J83" s="37" t="n"/>
    </row>
    <row r="84" ht="23.25" customHeight="1" s="23">
      <c r="A84" s="38" t="n">
        <v>83</v>
      </c>
      <c r="B84" s="37" t="inlineStr">
        <is>
          <t>Build</t>
        </is>
      </c>
      <c r="C84" s="37" t="inlineStr">
        <is>
          <t>Phase 11 — Free text and reroute</t>
        </is>
      </c>
      <c r="D84" s="37" t="inlineStr">
        <is>
          <t>Deterministic stub behind the real client interface, keyed on fixture strings</t>
        </is>
      </c>
      <c r="E84" s="39" t="n"/>
      <c r="F84" s="37" t="inlineStr">
        <is>
          <t>Task</t>
        </is>
      </c>
      <c r="G84" s="37" t="inlineStr">
        <is>
          <t>Done</t>
        </is>
      </c>
      <c r="H84" s="37" t="inlineStr">
        <is>
          <t>Done — StubClassifierClient, a REAL bean chosen when CLASSIFIER_URL is unset. Deterministic keyword matching; NO_MATCH for everything else.</t>
        </is>
      </c>
      <c r="I84" s="37" t="n"/>
      <c r="J84" s="37" t="n"/>
    </row>
    <row r="85" ht="23.25" customHeight="1" s="23">
      <c r="A85" s="38" t="n">
        <v>84</v>
      </c>
      <c r="B85" s="37" t="inlineStr">
        <is>
          <t>Build</t>
        </is>
      </c>
      <c r="C85" s="37" t="inlineStr">
        <is>
          <t>Phase 11 — Free text and reroute</t>
        </is>
      </c>
      <c r="D85" s="37" t="inlineStr">
        <is>
          <t>ClassifierClient with a 3s timeout and a circuit breaker; both failure modes set tier = T3</t>
        </is>
      </c>
      <c r="E85" s="39" t="n"/>
      <c r="F85" s="37" t="inlineStr">
        <is>
          <t>Task</t>
        </is>
      </c>
      <c r="G85" s="37" t="inlineStr">
        <is>
          <t>Done</t>
        </is>
      </c>
      <c r="H85" s="37" t="inlineStr">
        <is>
          <t>Done — HttpClassifierClient, 3s timeout + Resilience4j breaker. Both failure modes return the same value as an honest no-match, so there is no second code path under load.</t>
        </is>
      </c>
      <c r="I85" s="37" t="n"/>
      <c r="J85" s="37" t="n"/>
    </row>
    <row r="86" ht="23.25" customHeight="1" s="23">
      <c r="A86" s="38" t="n">
        <v>85</v>
      </c>
      <c r="B86" s="37" t="inlineStr">
        <is>
          <t>Build</t>
        </is>
      </c>
      <c r="C86" s="37" t="inlineStr">
        <is>
          <t>Phase 11 — Free text and reroute</t>
        </is>
      </c>
      <c r="D86" s="37" t="inlineStr">
        <is>
          <t>Entry-point free text: POST /help/sessions with freeText and no L1/L2 → classify-intent → back-fill the session → start the matching process</t>
        </is>
      </c>
      <c r="E86" s="39" t="inlineStr">
        <is>
          <t>Downstream is identical to a menu selection. The escalation_context must carry the original text, the matched concern and the confidence, so a reader can see how the system got there.</t>
        </is>
      </c>
      <c r="F86" s="37" t="inlineStr">
        <is>
          <t>Task</t>
        </is>
      </c>
      <c r="G86" s="37" t="inlineStr">
        <is>
          <t>Done</t>
        </is>
      </c>
      <c r="H86" s="37" t="inlineStr">
        <is>
          <t>Done — entry free text routes into the TRIAGE concern, which does the routing. Not a second mechanism beside RerouteDelegate. One model call per turn: the classification is carried into the process.</t>
        </is>
      </c>
      <c r="I86" s="37" t="n"/>
      <c r="J86" s="37" t="n"/>
    </row>
    <row r="87" ht="23.25" customHeight="1" s="23">
      <c r="A87" s="38" t="n">
        <v>86</v>
      </c>
      <c r="B87" s="37" t="inlineStr">
        <is>
          <t>Build</t>
        </is>
      </c>
      <c r="C87" s="37" t="inlineStr">
        <is>
          <t>Phase 11 — Free text and reroute</t>
        </is>
      </c>
      <c r="D87" s="37" t="inlineStr">
        <is>
          <t>In-concern free text: VIOL_R4_OTHERS → text names a different reason → reroute to that flow</t>
        </is>
      </c>
      <c r="E87" s="39" t="inlineStr">
        <is>
          <t>Reroute is a new mechanism. Decide and document whether it ends the process and starts another, or is a BPMN call activity — and what happens to the ticket id either way.</t>
        </is>
      </c>
      <c r="F87" s="37" t="inlineStr">
        <is>
          <t>Task</t>
        </is>
      </c>
      <c r="G87" s="37" t="inlineStr">
        <is>
          <t>Done</t>
        </is>
      </c>
      <c r="H87" s="37" t="inlineStr">
        <is>
          <t>Done — RerouteDelegate. Session MOVES rather than forking. Cannot reroute into a triage concern; target must be active and built. Caught a real bug: reroute was crossing Gate 1. AND A SECOND ONE, LATER: the IN-CONCERN path — the one this step actually describes — was unreachable through the API. handleL2 took the selection and discarded the text, so the concern ran with nothing to classify. Every test drove reroute from the ENTRY point instead. Built, green, documented as done, and dead. Found by tools/demo-run.sh on its third run; RerouteTest now has the test that would have caught it.</t>
        </is>
      </c>
      <c r="I87" s="37" t="n"/>
      <c r="J87" s="37" t="n"/>
    </row>
    <row r="88" ht="23.25" customHeight="1" s="23">
      <c r="A88" s="38" t="n">
        <v>87</v>
      </c>
      <c r="B88" s="37" t="inlineStr">
        <is>
          <t>Build</t>
        </is>
      </c>
      <c r="C88" s="37" t="inlineStr">
        <is>
          <t>Phase 11 — Free text and reroute</t>
        </is>
      </c>
      <c r="D88" s="37" t="inlineStr">
        <is>
          <t>Clarification loop: clarificationAttempts variable, re-prompt, escalate on the third failure</t>
        </is>
      </c>
      <c r="E88" s="39" t="inlineStr">
        <is>
          <t>The PRD requires two clarification attempts before an agent. Escalating on the first low-confidence result inflates the agent-connect rate directly.</t>
        </is>
      </c>
      <c r="F88" s="37" t="inlineStr">
        <is>
          <t>Task</t>
        </is>
      </c>
      <c r="G88" s="37" t="inlineStr">
        <is>
          <t>Done</t>
        </is>
      </c>
      <c r="H88" s="37" t="inlineStr">
        <is>
          <t>Done — clarification loop on the session (V6 clarification_attempts), not in BPMN: at the entry point no process exists yet. Re-prompt twice, different wording each time, then a person with the whole transcript. Risk skips the loop.</t>
        </is>
      </c>
      <c r="I88" s="37" t="n"/>
      <c r="J88" s="37" t="n"/>
    </row>
    <row r="89" ht="23.25" customHeight="1" s="23">
      <c r="A89" s="38" t="n">
        <v>88</v>
      </c>
      <c r="B89" s="37" t="inlineStr">
        <is>
          <t>Build</t>
        </is>
      </c>
      <c r="C89" s="37" t="inlineStr">
        <is>
          <t>Phase 11 — Free text and reroute</t>
        </is>
      </c>
      <c r="D89" s="40" t="inlineStr">
        <is>
          <t>CheckpointKill the Python service mid-session — the flow degrades to T3, no error reaches the caller</t>
        </is>
      </c>
      <c r="E89" s="39" t="n"/>
      <c r="F89" s="41" t="inlineStr">
        <is>
          <t>Checkpoint</t>
        </is>
      </c>
      <c r="G89" s="37" t="inlineStr">
        <is>
          <t>Done</t>
        </is>
      </c>
      <c r="H89" s="37" t="inlineStr">
        <is>
          <t>Done — CHECKPOINT PASSED. A client throwing on every call degrades to a human with nothing reaching the partner. 152/152 green.</t>
        </is>
      </c>
      <c r="I89" s="37" t="n"/>
      <c r="J89" s="37" t="n"/>
    </row>
    <row r="90" ht="23.25" customHeight="1" s="23">
      <c r="A90" s="38" t="n">
        <v>89</v>
      </c>
      <c r="B90" s="37" t="inlineStr">
        <is>
          <t>Build</t>
        </is>
      </c>
      <c r="C90" s="37" t="inlineStr">
        <is>
          <t>Phase 12 — External dependency and kill switch</t>
        </is>
      </c>
      <c r="D90" s="37" t="inlineStr">
        <is>
          <t>RECHARGE_DEBIT_NO_CREDIT against a mock PayU with switchable status and induced failures</t>
        </is>
      </c>
      <c r="E90" s="39" t="n"/>
      <c r="F90" s="37" t="inlineStr">
        <is>
          <t>Task</t>
        </is>
      </c>
      <c r="G90" s="37" t="inlineStr">
        <is>
          <t>Done</t>
        </is>
      </c>
      <c r="H90" s="37" t="inlineStr">
        <is>
          <t>Done — MockPayUGateway (switchable status, amounts, failNextCalls(n)) + WalletCreditService + ActionRegistry. PerformActionDelegate is the only place money moves: record the attempt AND COMMIT IT, call, record the outcome, never retry. A failed action moves the TICKET to T3 too, not just the process variables — otherwise the failure counts as automation that worked. 165/165 green.</t>
        </is>
      </c>
      <c r="I90" s="37" t="n"/>
      <c r="J90" s="37" t="n"/>
    </row>
    <row r="91" ht="23.25" customHeight="1" s="23">
      <c r="A91" s="38" t="n">
        <v>90</v>
      </c>
      <c r="B91" s="37" t="inlineStr">
        <is>
          <t>Build</t>
        </is>
      </c>
      <c r="C91" s="37" t="inlineStr">
        <is>
          <t>Phase 12 — External dependency and kill switch</t>
        </is>
      </c>
      <c r="D91" s="37" t="inlineStr">
        <is>
          <t>Idempotency keyed on the third-party transaction id, not our own</t>
        </is>
      </c>
      <c r="E91" s="39" t="inlineStr">
        <is>
          <t>A different key strategy from transport. Worth proving the guard handles both.</t>
        </is>
      </c>
      <c r="F91" s="37" t="inlineStr">
        <is>
          <t>Task</t>
        </is>
      </c>
      <c r="G91" s="37" t="inlineStr">
        <is>
          <t>Done</t>
        </is>
      </c>
      <c r="H91" s="37" t="inlineStr">
        <is>
          <t>Done — key is AUTO_CREDIT_WALLET:ref:&lt;PayU order id&gt;, not :ticket:&lt;id&gt;. A second conversation about the same failed recharge is correctly a second ticket, and must not be able to produce a second payment. Actions with no external reference keep the ticket-scoped key, so the shape degrades to the safe thing. A duplicate returns INFORM_ALREADY_CREDITED at T1 — the partner is told, not silently ignored.</t>
        </is>
      </c>
      <c r="I91" s="37" t="n"/>
      <c r="J91" s="37" t="n"/>
    </row>
    <row r="92" ht="23.25" customHeight="1" s="23">
      <c r="A92" s="38" t="n">
        <v>91</v>
      </c>
      <c r="B92" s="37" t="inlineStr">
        <is>
          <t>Build</t>
        </is>
      </c>
      <c r="C92" s="37" t="inlineStr">
        <is>
          <t>Phase 12 — External dependency and kill switch</t>
        </is>
      </c>
      <c r="D92" s="37" t="inlineStr">
        <is>
          <t>BotinFeature enum, JDBCStateRepository, console mounted and authenticated</t>
        </is>
      </c>
      <c r="E92" s="39" t="inlineStr">
        <is>
          <t>Even in a POC. An unauthenticated console that flips money-moving behaviour is a habit that survives into production.</t>
        </is>
      </c>
      <c r="F92" s="37" t="inlineStr">
        <is>
          <t>Task</t>
        </is>
      </c>
      <c r="G92" s="37" t="inlineStr">
        <is>
          <t>Done</t>
        </is>
      </c>
      <c r="H92" s="37" t="inlineStr">
        <is>
          <t>Done — flags now live in the primary database (JDBCStateRepository, no cache: a cached kill switch has a TTL, and a kill switch with a delay is not a kill switch). The TOGGLZ table is Togglz's own, as ACT_* is Flowable's; Flyway owns our tables. Console mounted by TogglzConsoleConfig, NOT the starter: with no TOGGLZ_CONSOLE_PASSWORD the servlet is not registered at all, so a misconfiguration 404s the page instead of exposing it. Authenticated by a filter on that one path rather than spring-boot-starter-security, which would secure every endpoint and enable CSRF on every POST — a test asserts the partner API still answers with no credentials. D-7 replaces it with Spring Security before Wave 1. A flag with no row reads OFF, so a fresh database pays nobody; every switch's position is logged at startup because off and never-configured look identical.</t>
        </is>
      </c>
      <c r="I92" s="37" t="n"/>
      <c r="J92" s="37" t="n"/>
    </row>
    <row r="93" ht="23.25" customHeight="1" s="23">
      <c r="A93" s="38" t="n">
        <v>92</v>
      </c>
      <c r="B93" s="37" t="inlineStr">
        <is>
          <t>Build</t>
        </is>
      </c>
      <c r="C93" s="37" t="inlineStr">
        <is>
          <t>Phase 12 — External dependency and kill switch</t>
        </is>
      </c>
      <c r="D93" s="40" t="inlineStr">
        <is>
          <t>CheckpointFlip the transport flag while running — next request routes to T3, no restart, and the partner still gets served</t>
        </is>
      </c>
      <c r="E93" s="39" t="n"/>
      <c r="F93" s="41" t="inlineStr">
        <is>
          <t>Checkpoint</t>
        </is>
      </c>
      <c r="G93" s="37" t="inlineStr">
        <is>
          <t>Done</t>
        </is>
      </c>
      <c r="H93" s="37" t="inlineStr">
        <is>
          <t>Done — CHECKPOINT PASSED. KillSwitch gates the T2 in DecideDelegate, before any call is made. Flag off = do not automate, send to a human; the partner is still served and no error reaches them. A concern with no flag is allowed, so adding a concern cannot ship it accidentally disabled.</t>
        </is>
      </c>
      <c r="I93" s="37" t="n"/>
      <c r="J93" s="37" t="n"/>
    </row>
    <row r="94" ht="23.25" customHeight="1" s="23">
      <c r="A94" s="38" t="n">
        <v>93</v>
      </c>
      <c r="B94" s="37" t="inlineStr">
        <is>
          <t>Build</t>
        </is>
      </c>
      <c r="C94" s="37" t="inlineStr">
        <is>
          <t>Phase 12 — External dependency and kill switch</t>
        </is>
      </c>
      <c r="D94" s="40" t="inlineStr">
        <is>
          <t>CheckpointEdit the Rs300 cap in the .dmn file, redeploy that file alone, behaviour changes with no Java rebuild</t>
        </is>
      </c>
      <c r="E94" s="39" t="n"/>
      <c r="F94" s="41" t="inlineStr">
        <is>
          <t>Checkpoint</t>
        </is>
      </c>
      <c r="G94" s="37" t="inlineStr">
        <is>
          <t>Done</t>
        </is>
      </c>
      <c r="H94" s="37" t="inlineStr">
        <is>
          <t>Done — CHECKPOINT PASSED. Rs250 paid under the Rs300 cap; cap edited to Rs200 in transport-not-received-decision.dmn; that one file redeployed into the running engine; same claim, same facts, now TICKET_EXCEEDS_CAP to a person. No rebuild, no restart. A third test asserts 30000 appears in no Java source anywhere — a constant agreeing with the table today becomes a silent disagreement after tomorrow's redeploy. 181/181 green, first run.</t>
        </is>
      </c>
      <c r="I94" s="37" t="n"/>
      <c r="J94" s="37" t="n"/>
    </row>
    <row r="95" ht="23.25" customHeight="1" s="23">
      <c r="A95" s="38" t="n">
        <v>94</v>
      </c>
      <c r="B95" s="37" t="inlineStr">
        <is>
          <t>Build</t>
        </is>
      </c>
      <c r="C95" s="37" t="inlineStr">
        <is>
          <t>Phase 13 — Demo surface and assessment</t>
        </is>
      </c>
      <c r="D95" s="37" t="inlineStr">
        <is>
          <t>OpenAPI spec published from the running service</t>
        </is>
      </c>
      <c r="E95" s="39" t="n"/>
      <c r="F95" s="37" t="inlineStr">
        <is>
          <t>Task</t>
        </is>
      </c>
      <c r="G95" s="37" t="inlineStr">
        <is>
          <t>Done</t>
        </is>
      </c>
      <c r="H95" s="37" t="inlineStr">
        <is>
          <t>Done — springdoc publishes the spec FROM the running service, so it cannot drift from the code. OpenApiPublishedTest names all ten endpoints explicitly: a springdoc that stops scanning a controller does not throw, it publishes a smaller document, and that looks exactly like a correct one unless something counts. The description carries the flow-ownership split, which an integrator would otherwise assume the other way round.</t>
        </is>
      </c>
      <c r="I95" s="37" t="n"/>
      <c r="J95" s="37" t="n"/>
    </row>
    <row r="96" ht="23.25" customHeight="1" s="23">
      <c r="A96" s="38" t="n">
        <v>95</v>
      </c>
      <c r="B96" s="37" t="inlineStr">
        <is>
          <t>Build</t>
        </is>
      </c>
      <c r="C96" s="37" t="inlineStr">
        <is>
          <t>Phase 13 — Demo surface and assessment</t>
        </is>
      </c>
      <c r="D96" s="37" t="inlineStr">
        <is>
          <t>A scripted run covering all seventeen cases in the coverage matrix, as a single executable file</t>
        </is>
      </c>
      <c r="E96" s="39" t="inlineStr">
        <is>
          <t>Curl or a REST client collection. The demo is the script — reproducible, not a live improvisation.</t>
        </is>
      </c>
      <c r="F96" s="37" t="inlineStr">
        <is>
          <t>Task</t>
        </is>
      </c>
      <c r="G96" s="37" t="inlineStr">
        <is>
          <t>Done</t>
        </is>
      </c>
      <c r="H96" s="37" t="inlineStr">
        <is>
          <t>Done and EXECUTED — 27/27 checks pass against a running service. tools/demo-run.sh covers 17 of the 20 coverage-matrix rows, asserts every case and exits non-zero on failure. Runs on in-memory H2 so it needs nothing installed. Three rounds of red before green, and the failures were worth more than the script: a doubled-output bug, a shell variable that never escaped its subshell, three guessed L1 codes, a wrong assumption about where CSAT lives on the contract, and one genuine unreachable feature (step 86).</t>
        </is>
      </c>
      <c r="I96" s="37" t="n"/>
      <c r="J96" s="37" t="n"/>
    </row>
    <row r="97" ht="23.25" customHeight="1" s="23">
      <c r="A97" s="38" t="n">
        <v>96</v>
      </c>
      <c r="B97" s="37" t="inlineStr">
        <is>
          <t>Build</t>
        </is>
      </c>
      <c r="C97" s="37" t="inlineStr">
        <is>
          <t>Phase 13 — Demo surface and assessment</t>
        </is>
      </c>
      <c r="D97" s="37" t="inlineStr">
        <is>
          <t>A seed fixture set: SPs, bookings, violations, wallet states that exercise every rule</t>
        </is>
      </c>
      <c r="E97" s="39" t="n"/>
      <c r="F97" s="37" t="inlineStr">
        <is>
          <t>Task</t>
        </is>
      </c>
      <c r="G97" s="37" t="inlineStr">
        <is>
          <t>Done</t>
        </is>
      </c>
      <c r="H97" s="37" t="inlineStr">
        <is>
          <t>Done — demo/fixtures.json + DemoFixtures, @Profile("demo"), FAILS AT STARTUP beside a real UAT datasource. Raw rows, not conclusions: path selector, duplicate-credit guard and TAT service all run for real against them. Times are relative, never dates. computedAmountPaise is the one invented figure (D-B unanswered), labelled as such, so the CAP is demonstrable without the RATE being right.</t>
        </is>
      </c>
      <c r="I97" s="37" t="n"/>
      <c r="J97" s="37" t="n"/>
    </row>
    <row r="98" ht="23.25" customHeight="1" s="23">
      <c r="A98" s="38" t="n">
        <v>97</v>
      </c>
      <c r="B98" s="37" t="inlineStr">
        <is>
          <t>Build</t>
        </is>
      </c>
      <c r="C98" s="37" t="inlineStr">
        <is>
          <t>Phase 13 — Demo surface and assessment</t>
        </is>
      </c>
      <c r="D98" s="37" t="inlineStr">
        <is>
          <t>Write up the five answers, the signal-availability register, and the LLM decision record</t>
        </is>
      </c>
      <c r="E98" s="39" t="n"/>
      <c r="F98" s="37" t="inlineStr">
        <is>
          <t>Task</t>
        </is>
      </c>
      <c r="G98" s="37" t="inlineStr">
        <is>
          <t>Done</t>
        </is>
      </c>
      <c r="H98" s="37" t="inlineStr">
        <is>
          <t>Done — docs/POC-ASSESSMENT.md. The five answers (U-1..U-5), the signal position in one number, and where the LLM decision stands. U-2 is reported as NOT ASSESSED and must never be quoted as passed: the fixtures were written by the same hand as the classifier, and fixtures written that way always classify well. U-4's answer is a third state the design did not anticipate — the concepts do not exist in the data at all, not 'build vs integrate'.</t>
        </is>
      </c>
      <c r="I98" s="37" t="n"/>
      <c r="J98" s="37" t="n"/>
    </row>
    <row r="99" ht="23.25" customHeight="1" s="23">
      <c r="A99" s="38" t="n">
        <v>98</v>
      </c>
      <c r="B99" s="37" t="inlineStr">
        <is>
          <t>Build</t>
        </is>
      </c>
      <c r="C99" s="37" t="inlineStr">
        <is>
          <t>Phase 13 — Demo surface and assessment</t>
        </is>
      </c>
      <c r="D99" s="40" t="inlineStr">
        <is>
          <t>VerdictAssess against the exit criteria in §6 and state the go / no-go plainly</t>
        </is>
      </c>
      <c r="E99" s="39" t="n"/>
      <c r="F99" s="41" t="inlineStr">
        <is>
          <t>Verdict</t>
        </is>
      </c>
      <c r="G99" s="37" t="inlineStr">
        <is>
          <t>Done</t>
        </is>
      </c>
      <c r="H99" s="37" t="inlineStr">
        <is>
          <t>Done — VERDICT: GO, with two conditions. Neither stop condition triggered: U-1 (process durability) and U-3 (money safety) both passed WITH their negative cases. Condition 1 is the SELECT grant + four schema answers — today the service resolves 7.7% of known monthly volume without a human because only one concern's facts are readable; the decision layer is correct and largely idle. Condition 2 is that classifier accuracy is unmeasured. Six follow-on actions listed, of which the highest-value one is not engineering work.</t>
        </is>
      </c>
      <c r="I99" s="37" t="n"/>
      <c r="J99" s="37" t="n"/>
    </row>
    <row r="100">
      <c r="A100" s="22" t="inlineStr">
        <is>
          <t>99</t>
        </is>
      </c>
      <c r="B100" s="22" t="inlineStr">
        <is>
          <t>Build</t>
        </is>
      </c>
      <c r="C100" s="22" t="inlineStr">
        <is>
          <t>After the plan — demonstrability</t>
        </is>
      </c>
      <c r="D100" s="22" t="inlineStr">
        <is>
          <t>Partner console: a renderer that proves the thin-client claim</t>
        </is>
      </c>
      <c r="E100" s="22" t="inlineStr">
        <is>
          <t>Built because the person who wrote the system could not narrate it. Contains no concern name, no tier and no rule — DemoConsoleTest extracts all 38 concern codes from the migrations and fails if one appears.</t>
        </is>
      </c>
      <c r="F100" s="22" t="inlineStr">
        <is>
          <t>Task</t>
        </is>
      </c>
      <c r="G100" s="22" t="inlineStr">
        <is>
          <t>Done</t>
        </is>
      </c>
      <c r="H100" s="22" t="inlineStr">
        <is>
          <t>Done — /console under its own profile. Split from the demo profile because that one refuses to start beside a real UAT datasource, which meant the console could never show real data. Banner is read from /console/state, not written into the page. SEEN WORKING: the cap case highlights row 2, the already-paid case highlights row 1 — same table, one fact different. 218/218 green. Caught an off-by-one between Flowable's 1-based rule numbering and the file reader's 0-based index that would have highlighted the WRONG ROW on stage.</t>
        </is>
      </c>
    </row>
    <row r="101">
      <c r="A101" s="22" t="inlineStr">
        <is>
          <t>100</t>
        </is>
      </c>
      <c r="B101" s="22" t="inlineStr">
        <is>
          <t>Build</t>
        </is>
      </c>
      <c r="C101" s="22" t="inlineStr">
        <is>
          <t>After the plan — demonstrability</t>
        </is>
      </c>
      <c r="D101" s="22" t="inlineStr">
        <is>
          <t>Decision trace: facts read, rule fired, rows that did not</t>
        </is>
      </c>
      <c r="E101" s="22" t="inlineStr">
        <is>
          <t>The panel that answers 'what happens in the backend'. Fired row comes from Flowable's audit trail; rule comments come from the .dmn file because the engine cannot return them.</t>
        </is>
      </c>
      <c r="F101" s="22" t="inlineStr">
        <is>
          <t>Task</t>
        </is>
      </c>
      <c r="G101" s="22" t="inlineStr">
        <is>
          <t>Done</t>
        </is>
      </c>
      <c r="H101" s="22" t="inlineStr">
        <is>
          <t>Done — /console/trace/{session}. Captured BY the decision, never re-run: a second evaluation is a second answer. DecideDelegate now calls decideExplained, so DecisionExplainedTest asserts both paths agree across five fact sets. 206/206 green. SEEN WORKING: the cap case highlights row 2, the already-paid case highlights row 1 — same table, one fact different. 218/218 green. Caught an off-by-one between Flowable's 1-based rule numbering and the file reader's 0-based index that would have highlighted the WRONG ROW on stage.</t>
        </is>
      </c>
    </row>
  </sheetData>
  <autoFilter ref="A1:J99"/>
  <conditionalFormatting sqref="G2:G99">
    <cfRule type="cellIs" rank="0" priority="2" equalAverage="0" operator="equal" aboveAverage="0" dxfId="10" text="" percent="0" bottom="0">
      <formula>"Done"</formula>
    </cfRule>
    <cfRule type="cellIs" rank="0" priority="3" equalAverage="0" operator="equal" aboveAverage="0" dxfId="11" text="" percent="0" bottom="0">
      <formula>"Delivered"</formula>
    </cfRule>
    <cfRule type="cellIs" rank="0" priority="4" equalAverage="0" operator="equal" aboveAverage="0" dxfId="12" text="" percent="0" bottom="0">
      <formula>"Blocked"</formula>
    </cfRule>
    <cfRule type="cellIs" rank="0" priority="5" equalAverage="0" operator="equal" aboveAverage="0" dxfId="13" text="" percent="0" bottom="0">
      <formula>"In progress"</formula>
    </cfRule>
  </conditionalFormatting>
  <dataValidations count="1">
    <dataValidation sqref="G2:G99" showDropDown="0" showInputMessage="0" showErrorMessage="0" allowBlank="1" type="list" errorStyle="stop" operator="between">
      <formula1>"Not started,In progress,Delivered,Blocked,Done,N/A"</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D15"/>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2" customWidth="1" style="22" min="1" max="1"/>
    <col width="40" customWidth="1" style="22" min="2" max="2"/>
    <col width="18" customWidth="1" style="22" min="3" max="3"/>
    <col width="72" customWidth="1" style="22" min="4" max="4"/>
  </cols>
  <sheetData>
    <row r="1" ht="15" customHeight="1" s="23">
      <c r="A1" s="36" t="inlineStr">
        <is>
          <t>Spike</t>
        </is>
      </c>
      <c r="B1" s="36" t="inlineStr">
        <is>
          <t>What was tested</t>
        </is>
      </c>
      <c r="C1" s="36" t="inlineStr">
        <is>
          <t>Result</t>
        </is>
      </c>
      <c r="D1" s="36" t="inlineStr">
        <is>
          <t>What it settled</t>
        </is>
      </c>
    </row>
    <row r="2" ht="15" customHeight="1" s="23">
      <c r="A2" s="37" t="inlineStr">
        <is>
          <t>1</t>
        </is>
      </c>
      <c r="B2" s="37" t="inlineStr">
        <is>
          <t>Flowable pause / JVM death / resume</t>
        </is>
      </c>
      <c r="C2" s="42" t="inlineStr">
        <is>
          <t>PASSED</t>
        </is>
      </c>
      <c r="D2" s="37" t="inlineStr">
        <is>
          <t>ADR-001 holds — the reason for embedding an engine at all</t>
        </is>
      </c>
    </row>
    <row r="3" ht="23.25" customHeight="1" s="23">
      <c r="A3" s="37" t="inlineStr">
        <is>
          <t>2</t>
        </is>
      </c>
      <c r="B3" s="37" t="inlineStr">
        <is>
          <t>DMN hit policy and row order</t>
        </is>
      </c>
      <c r="C3" s="42" t="inlineStr">
        <is>
          <t>PASSED</t>
        </is>
      </c>
      <c r="D3" s="37" t="inlineStr">
        <is>
          <t>Row order IS logic. A table with no catch-all returns null — 13 of 38 concerns are written that way</t>
        </is>
      </c>
    </row>
    <row r="4" ht="15" customHeight="1" s="23">
      <c r="A4" s="37" t="inlineStr">
        <is>
          <t>3</t>
        </is>
      </c>
      <c r="B4" s="37" t="inlineStr">
        <is>
          <t>REQUIRES_NEW through a rollback</t>
        </is>
      </c>
      <c r="C4" s="42" t="inlineStr">
        <is>
          <t>PASSED</t>
        </is>
      </c>
      <c r="D4" s="37" t="inlineStr">
        <is>
          <t>ADR-005 holds. Negative test passed too, so the test has teeth</t>
        </is>
      </c>
    </row>
    <row r="5" ht="15" customHeight="1" s="23">
      <c r="A5" s="37" t="inlineStr">
        <is>
          <t>4</t>
        </is>
      </c>
      <c r="B5" s="37" t="inlineStr">
        <is>
          <t>Togglz runtime flip</t>
        </is>
      </c>
      <c r="C5" s="42" t="inlineStr">
        <is>
          <t>PASSED</t>
        </is>
      </c>
      <c r="D5" s="37" t="inlineStr">
        <is>
          <t>Kill switch works with no restart</t>
        </is>
      </c>
    </row>
    <row r="6" ht="23.25" customHeight="1" s="23">
      <c r="A6" s="37" t="inlineStr">
        <is>
          <t>4</t>
        </is>
      </c>
      <c r="B6" s="37" t="inlineStr">
        <is>
          <t>Togglz misspelt flag name</t>
        </is>
      </c>
      <c r="C6" s="43" t="inlineStr">
        <is>
          <t>PASSED — A HOLE</t>
        </is>
      </c>
      <c r="D6" s="37" t="inlineStr">
        <is>
          <t>Unknown flag reads as "off" SILENTLY. Startup validation is now mandatory — FeatureNameValidator exists because of this</t>
        </is>
      </c>
    </row>
    <row r="7" ht="23.25" customHeight="1" s="23">
      <c r="A7" s="37" t="inlineStr">
        <is>
          <t>4</t>
        </is>
      </c>
      <c r="B7" s="37" t="inlineStr">
        <is>
          <t>Resilience4j circuit breaker</t>
        </is>
      </c>
      <c r="C7" s="42" t="inlineStr">
        <is>
          <t>PASSED</t>
        </is>
      </c>
      <c r="D7" s="37" t="inlineStr">
        <is>
          <t>Once OPEN the body stops executing, so a dead dependency stops costing a timeout per request</t>
        </is>
      </c>
    </row>
    <row r="8" ht="15" customHeight="1" s="23">
      <c r="A8" s="37" t="inlineStr">
        <is>
          <t>4</t>
        </is>
      </c>
      <c r="B8" s="37" t="inlineStr">
        <is>
          <t>Flyway + Flowable, one database</t>
        </is>
      </c>
      <c r="C8" s="42" t="inlineStr">
        <is>
          <t>PASSED</t>
        </is>
      </c>
      <c r="D8" s="37" t="inlineStr">
        <is>
          <t>They coexist</t>
        </is>
      </c>
    </row>
    <row r="9" ht="15" customHeight="1" s="23">
      <c r="A9" s="37" t="inlineStr">
        <is>
          <t>5</t>
        </is>
      </c>
      <c r="B9" s="37" t="inlineStr">
        <is>
          <t>Classifier rejects bad model output</t>
        </is>
      </c>
      <c r="C9" s="42" t="inlineStr">
        <is>
          <t>PASSED</t>
        </is>
      </c>
      <c r="D9" s="37" t="inlineStr">
        <is>
          <t>Hallucinated category, confidence 1.7, prose, missing field — all stopped at the boundary</t>
        </is>
      </c>
    </row>
    <row r="10" ht="15" customHeight="1" s="23">
      <c r="A10" s="37" t="inlineStr">
        <is>
          <t>—</t>
        </is>
      </c>
      <c r="B10" s="37" t="inlineStr">
        <is>
          <t>U-2 classifier accuracy</t>
        </is>
      </c>
      <c r="C10" s="43" t="inlineStr">
        <is>
          <t>NOT ASSESSED</t>
        </is>
      </c>
      <c r="D10" s="37" t="inlineStr">
        <is>
          <t>No key, no real ticket text. Must never be reported as passed</t>
        </is>
      </c>
    </row>
    <row r="11">
      <c r="A11" s="22" t="inlineStr">
        <is>
          <t>build</t>
        </is>
      </c>
      <c r="B11" s="22" t="inlineStr">
        <is>
          <t>DMN modeller re-save (DMN 1.5 namespace)</t>
        </is>
      </c>
      <c r="C11" s="22" t="inlineStr">
        <is>
          <t>FOUND IN THE BUILD — A HOLE</t>
        </is>
      </c>
      <c r="D11" s="22" t="inlineStr">
        <is>
          <t>Flowable 7.0.1 parses ONLY DMN 1.3 (20191111). One re-saved file stopped dmnEngineConfiguration, killed the Spring context and failed every @SpringBootTest — 80 errors. DmnNamespaceTest guards it now</t>
        </is>
      </c>
    </row>
    <row r="12">
      <c r="A12" s="22" t="inlineStr">
        <is>
          <t>build</t>
        </is>
      </c>
      <c r="B12" s="22" t="inlineStr">
        <is>
          <t>Fact name spelled differently on the two sides</t>
        </is>
      </c>
      <c r="C12" s="22" t="inlineStr">
        <is>
          <t>FOUND IN THE BUILD — A HOLE</t>
        </is>
      </c>
      <c r="D12" s="22" t="inlineStr">
        <is>
          <t>arrivedAt300m vs arrivedAt300metre. No error anywhere: the table reads null, never matches, every claim reaches an agent. ProviderContractTest guards it now</t>
        </is>
      </c>
    </row>
    <row r="13">
      <c r="A13" s="22" t="inlineStr">
        <is>
          <t>build</t>
        </is>
      </c>
      <c r="B13" s="22" t="inlineStr">
        <is>
          <t>DMN input expression that fails to evaluate</t>
        </is>
      </c>
      <c r="C13" s="22" t="inlineStr">
        <is>
          <t>FOUND IN THE BUILD — A HOLE</t>
        </is>
      </c>
      <c r="D13" s="22" t="inlineStr">
        <is>
          <t>A failed input expression takes the WHOLE table down, catch-all included. The catch-all is not a floor. One value per rule row</t>
        </is>
      </c>
    </row>
    <row r="14">
      <c r="A14" s="22" t="inlineStr">
        <is>
          <t>build</t>
        </is>
      </c>
      <c r="B14" s="22" t="inlineStr">
        <is>
          <t>`--` inside an XML comment in a BPMN file</t>
        </is>
      </c>
      <c r="C14" s="22" t="inlineStr">
        <is>
          <t>FOUND IN THE BUILD — A HOLE</t>
        </is>
      </c>
      <c r="D14" s="22" t="inlineStr">
        <is>
          <t>Illegal XML. One decorative comment line stopped the process engine, killed the context and failed 95 tests. Same shape as the DMN 1.5 incident. DeployableXmlTest guards both now</t>
        </is>
      </c>
    </row>
    <row r="15">
      <c r="A15" s="22" t="inlineStr">
        <is>
          <t>build</t>
        </is>
      </c>
      <c r="B15" s="22" t="inlineStr">
        <is>
          <t>An ACTIVE concern pointing at a BPMN file that was never written</t>
        </is>
      </c>
      <c r="C15" s="22" t="inlineStr">
        <is>
          <t>FOUND IN THE BUILD — A HOLE</t>
        </is>
      </c>
      <c r="D15" s="22" t="inlineStr">
        <is>
          <t>Non-null pointer, no artifact. Nothing failed; the partner met CONCERN_NOT_AVAILABLE and nothing reported it. SchemaAndCatalogueTest now asks both engines whether every process_key and dmn_key resolves</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2026-09-14T10:14:55Z</dcterms:created>
  <dcterms:modified xmlns:dcterms="http://purl.org/dc/terms/" xmlns:xsi="http://www.w3.org/2001/XMLSchema-instance" xsi:type="dcterms:W3CDTF">2026-09-15T17:51:09Z</dcterms:modified>
  <cp:revision>0</cp:revision>
</cp:coreProperties>
</file>