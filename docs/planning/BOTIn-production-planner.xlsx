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teps" sheetId="2" state="visible" r:id="rId4"/>
    <sheet name="Summary" sheetId="3" state="visible" r:id="rId5"/>
    <sheet name="Definition of done" sheetId="4" state="visible" r:id="rId6"/>
    <sheet name="Gates" sheetId="5" state="visible" r:id="rId7"/>
  </sheets>
  <definedNames>
    <definedName function="false" hidden="true" localSheetId="1" name="_xlnm._FilterDatabase" vbProcedure="false">Steps!$A$1:$I$81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<sst xmlns="http://schemas.openxmlformats.org/spreadsheetml/2006/main" count="669" uniqueCount="372">
  <si>
    <t xml:space="preserve">BOTIn — POC to production release, step by step</t>
  </si>
  <si>
    <t xml:space="preserve">80 steps in 9 phases. Sequenced so that each one can be understood and agreed before it is implemented.</t>
  </si>
  <si>
    <t xml:space="preserve">HOW WE WORK THROUGH IT</t>
  </si>
  <si>
    <t xml:space="preserve">1.  Take the next step in order. Phases are sequential; steps inside a phase mostly are not.</t>
  </si>
  <si>
    <t xml:space="preserve">2.  Steps marked DISCUSS FIRST = Y are design decisions. We agree the approach before any code changes. 49 of the 80 are.</t>
  </si>
  <si>
    <t xml:space="preserve">3.  Steps marked N are mechanical. I propose the change, you approve, I make it.</t>
  </si>
  <si>
    <t xml:space="preserve">4.  No code changes without your approval, on any step.</t>
  </si>
  <si>
    <t xml:space="preserve">5.  Set Status on the Steps tab; the Summary tab is formulas over it and updates itself.</t>
  </si>
  <si>
    <t xml:space="preserve">THE SHAPE OF THE PLAN, AND WHY</t>
  </si>
  <si>
    <t xml:space="preserve">Phase 0 settles what nobody can compute — the decisions, and the five data answers two read-only probes return.</t>
  </si>
  <si>
    <t xml:space="preserve">Phases 1 and 2 are independent of every open decision: the service has to be deployable and the reads have to be correct whatever Phase 1 turns out to contain. They can start immediately.</t>
  </si>
  <si>
    <t xml:space="preserve">Phase 3 takes ONE concern all the way to production quality, to prove the Definition of Done is achievable. Recharge, because it is the only concern whose money path is complete — AUTO_CREDIT_WALLET is the single registered action today.</t>
  </si>
  <si>
    <t xml:space="preserve">Phases 4 and 5 are the things a service that moves money without a human needs before it is allowed to.</t>
  </si>
  <si>
    <t xml:space="preserve">Phase 6 repeats the Phase 3 shape across the remaining concerns. Vertical slices, one concern at a time — a concern that reads, decides, acts and is observable is shippable; a layer is not.</t>
  </si>
  <si>
    <t xml:space="preserve">Phase 7 is the front door NFR-01 demands, and it is the long pole: dialer, CTI, agent tooling, audio-note L1, order dropdown. Mostly other teams. Start tracking it early even though it lands late.</t>
  </si>
  <si>
    <t xml:space="preserve">Phase 8 is shadow mode, then the go list, then go/no-go.</t>
  </si>
  <si>
    <t xml:space="preserve">WHAT THIS PLAN ASSUMES, AND WHERE IT COULD BE WRONG</t>
  </si>
  <si>
    <t xml:space="preserve">It assumes Recharge is the right first slice. If Product decides Phase 1 ships Tier 0/1 only, the first slice becomes Forget MPIN and Phase 3 gets cheaper and proves less.</t>
  </si>
  <si>
    <t xml:space="preserve">It assumes the taxonomy is settled in step 9. Until it is, Product Issues and Violations — 18,087 monthly cases between them — have no agreed home.</t>
  </si>
  <si>
    <t xml:space="preserve">Phase 7 is sized by other teams, not by this codebase. No amount of work here shortens it.</t>
  </si>
  <si>
    <t xml:space="preserve">#</t>
  </si>
  <si>
    <t xml:space="preserve">Phase</t>
  </si>
  <si>
    <t xml:space="preserve">Step</t>
  </si>
  <si>
    <t xml:space="preserve">What changes in the implementation</t>
  </si>
  <si>
    <t xml:space="preserve">Why it matters</t>
  </si>
  <si>
    <t xml:space="preserve">Depends on</t>
  </si>
  <si>
    <t xml:space="preserve">Discuss first</t>
  </si>
  <si>
    <t xml:space="preserve">Status</t>
  </si>
  <si>
    <t xml:space="preserve">Notes</t>
  </si>
  <si>
    <t xml:space="preserve">0 — Settle (no production code)</t>
  </si>
  <si>
    <t xml:space="preserve">Run tools/uat-probe-2.sql</t>
  </si>
  <si>
    <t xml:space="preserve">Nothing. Read-only SQL.</t>
  </si>
  <si>
    <t xml:space="preserve">Returns the real names of arrived_at300_m and order_type, the paise-vs-rupees answer, the PayU link column (N3) and cs_address (Q6).</t>
  </si>
  <si>
    <t xml:space="preserve">—</t>
  </si>
  <si>
    <t xml:space="preserve">N</t>
  </si>
  <si>
    <t xml:space="preserve">Not started</t>
  </si>
  <si>
    <t xml:space="preserve">Run tools/uat-probe-3.sql</t>
  </si>
  <si>
    <t xml:space="preserve">Returns the order_status_code values for NR / CR / by-agent (N2). NR auto-credits where CR denies, so a wrong mapping pays the wrong partners.</t>
  </si>
  <si>
    <t xml:space="preserve">Record every probe answer</t>
  </si>
  <si>
    <t xml:space="preserve">docs/SIGNAL-REGISTER.md, docs/DECISIONS.md</t>
  </si>
  <si>
    <t xml:space="preserve">An answer that lives only in a chat is an answer that gets re-derived wrongly later.</t>
  </si>
  <si>
    <t xml:space="preserve">1, 2</t>
  </si>
  <si>
    <t xml:space="preserve">Take the 8 reconciliation decisions to Product</t>
  </si>
  <si>
    <t xml:space="preserve">docs/DECISIONS.md</t>
  </si>
  <si>
    <t xml:space="preserve">23% of volume is in CONFLICT between the PRD and the concern sheet and 35% is in the catalogue but absent from the PRD. Building either version first is a coin flip.</t>
  </si>
  <si>
    <t xml:space="preserve">Y</t>
  </si>
  <si>
    <t xml:space="preserve">Settle the headline number: 86% or 61.5%</t>
  </si>
  <si>
    <t xml:space="preserve">Both are forecasts of the same quantity and they differ by a quarter of all volume. Staffing, the agent-connect target and every phase gate are sized off it.</t>
  </si>
  <si>
    <t xml:space="preserve">4</t>
  </si>
  <si>
    <t xml:space="preserve">Confirm the Phase 1 concern cut</t>
  </si>
  <si>
    <t xml:space="preserve">PRD Phase 1 is Tier 0/1 only. Of what is built, only FORGET_MPIN qualifies; Transport and Recharge are Phase 2.</t>
  </si>
  <si>
    <t xml:space="preserve">4, 5</t>
  </si>
  <si>
    <t xml:space="preserve">Confirm the Agent-2 outbound SLA (NFR-03)</t>
  </si>
  <si>
    <t xml:space="preserve">Nothing yet; sets the alert threshold later.</t>
  </si>
  <si>
    <t xml:space="preserve">Unspecified in the PRD. Decides whether the agent queue needs priority handling.</t>
  </si>
  <si>
    <t xml:space="preserve">Settle the reversible window (NFR-07)</t>
  </si>
  <si>
    <t xml:space="preserve">Shapes the ticket_action schema in step 14.</t>
  </si>
  <si>
    <t xml:space="preserve">Duration, who may reverse, and whether the partner sees the money. Settle BEFORE the schema port so the table is created once with the states it needs.</t>
  </si>
  <si>
    <t xml:space="preserve">Freeze the concern taxonomy and write the catalogue migration</t>
  </si>
  <si>
    <t xml:space="preserve">New Flyway migration over concern_catalogue</t>
  </si>
  <si>
    <t xml:space="preserve">The catalogue is the system's configuration. If it describes the wrong world, that is one migration now or a surprise per concern later.</t>
  </si>
  <si>
    <t xml:space="preserve">1 — Make it deployable (new service)</t>
  </si>
  <si>
    <t xml:space="preserve">Create the service repository properly</t>
  </si>
  <si>
    <t xml:space="preserve">Repo layout, branch protection, PR review, versioning</t>
  </si>
  <si>
    <t xml:space="preserve">Today it is one commit named 'initial setup'. Nothing downstream is safe without history and review.</t>
  </si>
  <si>
    <t xml:space="preserve">Dockerfile matching the platform</t>
  </si>
  <si>
    <t xml:space="preserve">New Dockerfile</t>
  </si>
  <si>
    <t xml:space="preserve">empapi's pattern: ym-base-images ECR builder, temurin-17-jre runtime, Elastic APM agent, ports 8080/9090.</t>
  </si>
  <si>
    <t xml:space="preserve">10</t>
  </si>
  <si>
    <t xml:space="preserve">Per-environment config, the platform's way</t>
  </si>
  <si>
    <t xml:space="preserve">src/main/config/{dev,uat,pre-prod,prod}/application.properties + Maven profiles</t>
  </si>
  <si>
    <t xml:space="preserve">empapi selects config by Maven profile, not by Spring profile files in resources. Match it.</t>
  </si>
  <si>
    <t xml:space="preserve">Secrets from AWS Secrets Manager</t>
  </si>
  <si>
    <t xml:space="preserve">spring.config.import=aws-secretsmanager:&lt;env&gt;/botin</t>
  </si>
  <si>
    <t xml:space="preserve">Retires env/botin-uat.env for every deployed environment. Secrets are already solved here; do not invent a second mechanism.</t>
  </si>
  <si>
    <t xml:space="preserve">12</t>
  </si>
  <si>
    <t xml:space="preserve">Port the schema to MySQL</t>
  </si>
  <si>
    <t xml:space="preserve">db/migration/V1 rewritten</t>
  </si>
  <si>
    <t xml:space="preserve">escalation_context is five VARCHAR(4000) columns — about 80,640 bytes under utf8mb4, over MySQL's 65,535-byte row limit. The table will not create. Those become TEXT.</t>
  </si>
  <si>
    <t xml:space="preserve">8</t>
  </si>
  <si>
    <t xml:space="preserve">Decide and apply the UUID representation</t>
  </si>
  <si>
    <t xml:space="preserve">V1 + entity mappings</t>
  </si>
  <si>
    <t xml:space="preserve">MySQL has no UUID type. CHAR(36) is readable in a SQL client; BINARY(16) is not. Every runbook and every 'why did this partner get paid' query starts with pasting an id.</t>
  </si>
  <si>
    <t xml:space="preserve">14</t>
  </si>
  <si>
    <t xml:space="preserve">Timestamps and booleans</t>
  </si>
  <si>
    <t xml:space="preserve">V1</t>
  </si>
  <si>
    <t xml:space="preserve">TIMESTAMP WITH TIME ZONE has no MySQL equivalent: DATETIME(6) with hibernate.jdbc.time_zone=UTC carrying the contract. BOOLEAN becomes TINYINT(1).</t>
  </si>
  <si>
    <t xml:space="preserve">Re-seed the catalogue for MySQL</t>
  </si>
  <si>
    <t xml:space="preserve">db/migration/V2 (and the taxonomy migration from step 9)</t>
  </si>
  <si>
    <t xml:space="preserve">Seed data and the frozen taxonomy land together, once.</t>
  </si>
  <si>
    <t xml:space="preserve">14, 9</t>
  </si>
  <si>
    <t xml:space="preserve">Flowable on MySQL</t>
  </si>
  <si>
    <t xml:space="preserve">config/FlowableConfig.java, engine properties</t>
  </si>
  <si>
    <t xml:space="preserve">Its DDL, optimistic locking, id generator and history tables are engine-specific.</t>
  </si>
  <si>
    <t xml:space="preserve">Testcontainers MySQL for migration and repository tests</t>
  </si>
  <si>
    <t xml:space="preserve">src/test, pom.xml</t>
  </si>
  <si>
    <t xml:space="preserve">H2 standing in for MySQL would not have caught the row-size limit above — exactly the class of thing that matters. Keep H2 for the rest.</t>
  </si>
  <si>
    <t xml:space="preserve">Re-prove money safety on MySQL</t>
  </si>
  <si>
    <t xml:space="preserve">No new code; the existing tests run against MySQL</t>
  </si>
  <si>
    <t xml:space="preserve">REQUIRES_NEW isolation, commit-before-call ordering and the duplicate-credit guard were one of the two POC stop conditions, proved on one engine.</t>
  </si>
  <si>
    <t xml:space="preserve">19</t>
  </si>
  <si>
    <t xml:space="preserve">Provision the database per environment</t>
  </si>
  <si>
    <t xml:space="preserve">Infra; Flyway runs on deploy</t>
  </si>
  <si>
    <t xml:space="preserve">Point source reads at the read replica</t>
  </si>
  <si>
    <t xml:space="preserve">config/DataSourceConfig.java</t>
  </si>
  <si>
    <t xml:space="preserve">empapi already separates prodsqlwr from prodsqlro. The SELECT-only GRANT stays as well: the grant makes writing impossible, the replica makes reaching the primary impossible.</t>
  </si>
  <si>
    <t xml:space="preserve">21</t>
  </si>
  <si>
    <t xml:space="preserve">CI pipeline</t>
  </si>
  <si>
    <t xml:space="preserve">Build, full test suite, tools/preflight.py, image push to ECR</t>
  </si>
  <si>
    <t xml:space="preserve">preflight catches the JVM-free inconsistencies before a compiler ever runs.</t>
  </si>
  <si>
    <t xml:space="preserve">10, 11</t>
  </si>
  <si>
    <t xml:space="preserve">Deploy pipeline and a rollback that is exercised</t>
  </si>
  <si>
    <t xml:space="preserve">Infra</t>
  </si>
  <si>
    <t xml:space="preserve">A documented rollback is not a rollback.</t>
  </si>
  <si>
    <t xml:space="preserve">23</t>
  </si>
  <si>
    <t xml:space="preserve">Make the demo profile impossible outside local</t>
  </si>
  <si>
    <t xml:space="preserve">application-demo.yml, a CI assertion</t>
  </si>
  <si>
    <t xml:space="preserve">It mounts an unauthenticated SQL console and fixture data. It already refuses to start beside a real datasource; that guard must be tested, not trusted.</t>
  </si>
  <si>
    <t xml:space="preserve">Decide what happens to /console and /demo in production</t>
  </si>
  <si>
    <t xml:space="preserve">console/*, demo/*</t>
  </si>
  <si>
    <t xml:space="preserve">They are demonstration surfaces. Remove from the production build, or gate behind the ops identity from step 46.</t>
  </si>
  <si>
    <t xml:space="preserve">2 — Make what exists correct</t>
  </si>
  <si>
    <t xml:space="preserve">Fix arrived_at300_m</t>
  </si>
  <si>
    <t xml:space="preserve">facts/TransportFactProvider.java — SQL, requiredColumns()</t>
  </si>
  <si>
    <t xml:space="preserve">The column does not exist. MySQL 1054 kills the whole SELECT, so Transport does not degrade on real data — it stops. Flip inferred to confirmed in the same edit.</t>
  </si>
  <si>
    <t xml:space="preserve">1</t>
  </si>
  <si>
    <t xml:space="preserve">Fix order_type</t>
  </si>
  <si>
    <t xml:space="preserve">facts/ProductDeliveryFactProvider.java — SQL, requiredColumns()</t>
  </si>
  <si>
    <t xml:space="preserve">Same failure mode. Express detection cannot work until it is right.</t>
  </si>
  <si>
    <t xml:space="preserve">Apply the paise-vs-rupees answer</t>
  </si>
  <si>
    <t xml:space="preserve">dmn/transport-not-received-decision.dmn rule t2, facts/TransportFactProvider.amountFor()</t>
  </si>
  <si>
    <t xml:space="preserve">No UAT order exceeds 30000. If the column is rupees, the Rs300 cap compares against a number 100x too large and can never fire.</t>
  </si>
  <si>
    <t xml:space="preserve">Read the cancellation status from the right column</t>
  </si>
  <si>
    <t xml:space="preserve">facts/TransportFactProvider.cancellationOf()</t>
  </si>
  <si>
    <t xml:space="preserve">It maps from unassign_status_code; the statuses live on order_status_code. Unblocks transport rules 5a, 6 and 7.</t>
  </si>
  <si>
    <t xml:space="preserve">2</t>
  </si>
  <si>
    <t xml:space="preserve">Wire the job lat/long</t>
  </si>
  <si>
    <t xml:space="preserve">facts/TransportFactProvider.beyondRadius(), shared/GeoService.java</t>
  </si>
  <si>
    <t xml:space="preserve">Path 3 distance returns null today, so rules 8 and 9 are dead. The job location is on cs_address, not tbl_order.</t>
  </si>
  <si>
    <t xml:space="preserve">Implement the wallet-to-PayU link</t>
  </si>
  <si>
    <t xml:space="preserve">facts/RechargeFactProvider.java, shared/DuplicateCreditGuard.java</t>
  </si>
  <si>
    <t xml:space="preserve">alreadyCredited for Recharge. A wrong 'not credited' pays twice.</t>
  </si>
  <si>
    <t xml:space="preserve">Make the schema probe fail the deployment</t>
  </si>
  <si>
    <t xml:space="preserve">facts/UatSchemaProbe.java</t>
  </si>
  <si>
    <t xml:space="preserve">It logs an error today. A missing column should stop a release, not decorate a log.</t>
  </si>
  <si>
    <t xml:space="preserve">27, 28</t>
  </si>
  <si>
    <t xml:space="preserve">Run the probe against the production schema</t>
  </si>
  <si>
    <t xml:space="preserve">Nothing; read-only</t>
  </si>
  <si>
    <t xml:space="preserve">UAT and production drift. Confirm before, not after.</t>
  </si>
  <si>
    <t xml:space="preserve">33</t>
  </si>
  <si>
    <t xml:space="preserve">Re-run the acceptance suite and count reachable rules</t>
  </si>
  <si>
    <t xml:space="preserve">tools/demo-run.sh, DemoScenarioRunTest</t>
  </si>
  <si>
    <t xml:space="preserve">The exit criterion is every rule reachable through the API for the in-scope concerns.</t>
  </si>
  <si>
    <t xml:space="preserve">27-32</t>
  </si>
  <si>
    <t xml:space="preserve">3 — The reference slice: Recharge, end to end</t>
  </si>
  <si>
    <t xml:space="preserve">Agree the Definition of Done for a production concern</t>
  </si>
  <si>
    <t xml:space="preserve">docs/DEFINITION-OF-DONE.md</t>
  </si>
  <si>
    <t xml:space="preserve">Write it once, before the first concern, so 'done' is not renegotiated per concern. The 'Definition of done' tab is the proposal.</t>
  </si>
  <si>
    <t xml:space="preserve">Replace the mock PayU gateway</t>
  </si>
  <si>
    <t xml:space="preserve">payu/MockPayUGateway.java behind the existing interface; a real implementation beside it</t>
  </si>
  <si>
    <t xml:space="preserve">Recharge is the ONLY concern whose money path is complete — AUTO_CREDIT_WALLET is the single registered action. That makes it the natural first slice.</t>
  </si>
  <si>
    <t xml:space="preserve">32</t>
  </si>
  <si>
    <t xml:space="preserve">Prove idempotency against the real gateway's semantics</t>
  </si>
  <si>
    <t xml:space="preserve">action/WalletCreditService.java, safety/TicketActionRecorder.java</t>
  </si>
  <si>
    <t xml:space="preserve">The guard was proved against a mock. Real gateways differ in what they return on a repeat.</t>
  </si>
  <si>
    <t xml:space="preserve">37</t>
  </si>
  <si>
    <t xml:space="preserve">Implement the reversible window</t>
  </si>
  <si>
    <t xml:space="preserve">safety/TicketAction.java, a new state; V-next migration</t>
  </si>
  <si>
    <t xml:space="preserve">NFR-07. Today an auto-credit is immediate and final. This introduces a state the system does not have: paid, but not yet final.</t>
  </si>
  <si>
    <t xml:space="preserve">8, 14</t>
  </si>
  <si>
    <t xml:space="preserve">Finaliser and reversal path</t>
  </si>
  <si>
    <t xml:space="preserve">New scheduled component; action/ layer</t>
  </si>
  <si>
    <t xml:space="preserve">Something has to close the window, and something has to reverse inside it.</t>
  </si>
  <si>
    <t xml:space="preserve">39</t>
  </si>
  <si>
    <t xml:space="preserve">Partner wording for money in the window</t>
  </si>
  <si>
    <t xml:space="preserve">process/ResponseTemplates.java</t>
  </si>
  <si>
    <t xml:space="preserve">'Credited' and 'credited, reversible until tomorrow' are different sentences.</t>
  </si>
  <si>
    <t xml:space="preserve">Reconciliation covers Recharge</t>
  </si>
  <si>
    <t xml:space="preserve">reconcile/ReconciliationService.java; scheduling</t>
  </si>
  <si>
    <t xml:space="preserve">NFR-06 targets 100%. The silent case — the gateway paid and we have no row — is the reason it exists.</t>
  </si>
  <si>
    <t xml:space="preserve">Metrics for Recharge</t>
  </si>
  <si>
    <t xml:space="preserve">Micrometer counters at the decision and action layers</t>
  </si>
  <si>
    <t xml:space="preserve">An automation rate nobody can compute is not a target.</t>
  </si>
  <si>
    <t xml:space="preserve">54</t>
  </si>
  <si>
    <t xml:space="preserve">Runbook: Recharge</t>
  </si>
  <si>
    <t xml:space="preserve">docs/runbooks/</t>
  </si>
  <si>
    <t xml:space="preserve">What to do when the gateway is down, when a credit is stuck pending, how to switch it off.</t>
  </si>
  <si>
    <t xml:space="preserve">GATE — Recharge meets the Definition of Done</t>
  </si>
  <si>
    <t xml:space="preserve">The first concern proves the definition is achievable. Every later concern is a repeat of this shape.</t>
  </si>
  <si>
    <t xml:space="preserve">36-44</t>
  </si>
  <si>
    <t xml:space="preserve">4 — Production safety</t>
  </si>
  <si>
    <t xml:space="preserve">Authentication and authorisation</t>
  </si>
  <si>
    <t xml:space="preserve">api/*, a security config</t>
  </si>
  <si>
    <t xml:space="preserve">The POC API is open. The partner app, the agent surface and the ops surface are three callers with three different rights.</t>
  </si>
  <si>
    <t xml:space="preserve">Rate limiting on partner endpoints</t>
  </si>
  <si>
    <t xml:space="preserve">Gateway or filter</t>
  </si>
  <si>
    <t xml:space="preserve">46</t>
  </si>
  <si>
    <t xml:space="preserve">Togglz console behind real identity</t>
  </si>
  <si>
    <t xml:space="preserve">safety/TogglzConsoleAuthFilter.java or an ops API</t>
  </si>
  <si>
    <t xml:space="preserve">HTTP Basic with a constant-time compare is a POC-grade answer for the control that stops the bot paying people.</t>
  </si>
  <si>
    <t xml:space="preserve">PII position</t>
  </si>
  <si>
    <t xml:space="preserve">Logging config, escalation_context, conversation_message</t>
  </si>
  <si>
    <t xml:space="preserve">Partner free text and full transcripts are stored. Decide what is logged, what is kept, and for how long.</t>
  </si>
  <si>
    <t xml:space="preserve">Data retention and archival</t>
  </si>
  <si>
    <t xml:space="preserve">ACT_HI_* tables, conversation_message</t>
  </si>
  <si>
    <t xml:space="preserve">Flowable history gains a row per step per conversation, forever. Decide before the first slow query, not after.</t>
  </si>
  <si>
    <t xml:space="preserve">50</t>
  </si>
  <si>
    <t xml:space="preserve">Finance sign-off on the audit trail</t>
  </si>
  <si>
    <t xml:space="preserve">safety/TicketAction.java fields</t>
  </si>
  <si>
    <t xml:space="preserve">NFR-05: every action logged with SP id, timestamp and outcome. Confirm it satisfies finance as written.</t>
  </si>
  <si>
    <t xml:space="preserve">42</t>
  </si>
  <si>
    <t xml:space="preserve">Reconciliation scheduled and paging</t>
  </si>
  <si>
    <t xml:space="preserve">reconcile/, alerting</t>
  </si>
  <si>
    <t xml:space="preserve">An unrecorded payment — gateway paid, no row — must wake somebody.</t>
  </si>
  <si>
    <t xml:space="preserve">Kill switches verified per environment</t>
  </si>
  <si>
    <t xml:space="preserve">safety/BotinFeature.java, Togglz state in prod</t>
  </si>
  <si>
    <t xml:space="preserve">Off must mean 'do not automate', not 'fail'.</t>
  </si>
  <si>
    <t xml:space="preserve">5 — Operability</t>
  </si>
  <si>
    <t xml:space="preserve">Elastic APM and correlation ids</t>
  </si>
  <si>
    <t xml:space="preserve">Dockerfile agent, MDC through delegates</t>
  </si>
  <si>
    <t xml:space="preserve">The platform already runs APM. Carry one id from the partner request through the process instance to the action row.</t>
  </si>
  <si>
    <t xml:space="preserve">11</t>
  </si>
  <si>
    <t xml:space="preserve">Health and readiness that tell the truth</t>
  </si>
  <si>
    <t xml:space="preserve">actuator config</t>
  </si>
  <si>
    <t xml:space="preserve">'Up' and 'able to read the source database' are different questions.</t>
  </si>
  <si>
    <t xml:space="preserve">22</t>
  </si>
  <si>
    <t xml:space="preserve">KPI metrics, matching the PRD</t>
  </si>
  <si>
    <t xml:space="preserve">Micrometer</t>
  </si>
  <si>
    <t xml:space="preserve">Automation rate, agent-connect rate, settlement accuracy, CSAT, and per-concern tier distribution.</t>
  </si>
  <si>
    <t xml:space="preserve">Alerts that mean money is wrong</t>
  </si>
  <si>
    <t xml:space="preserve">Alerting config</t>
  </si>
  <si>
    <t xml:space="preserve">Reconciliation mismatch; an action attempted with no outcome; a kill switch off beyond a threshold; escalation rate moving sharply on one concern.</t>
  </si>
  <si>
    <t xml:space="preserve">52, 56</t>
  </si>
  <si>
    <t xml:space="preserve">Structured logging</t>
  </si>
  <si>
    <t xml:space="preserve">Logging config</t>
  </si>
  <si>
    <t xml:space="preserve">The POC logs generously. Production needs it parseable.</t>
  </si>
  <si>
    <t xml:space="preserve">Durable decision trace</t>
  </si>
  <si>
    <t xml:space="preserve">console/DecisionTrace.java</t>
  </si>
  <si>
    <t xml:space="preserve">A 200-entry in-memory ring, lost on restart, is not production observability for a concern that moves money. Facts are already durable in ACT_HI_VARINST; rule outcomes are not.</t>
  </si>
  <si>
    <t xml:space="preserve">Runbooks for the standing failures</t>
  </si>
  <si>
    <t xml:space="preserve">Source database unreachable; gateway down; a concern escalating everything; how to turn a concern off.</t>
  </si>
  <si>
    <t xml:space="preserve">44</t>
  </si>
  <si>
    <t xml:space="preserve">On-call ownership</t>
  </si>
  <si>
    <t xml:space="preserve">This service moves money with no human in the loop.</t>
  </si>
  <si>
    <t xml:space="preserve">6 — Replicate the slice</t>
  </si>
  <si>
    <t xml:space="preserve">Build the transport credit service</t>
  </si>
  <si>
    <t xml:space="preserve">action/ — a new ActionService for AUTO_CREDIT_TRANSPORT and AUTO_CREDIT_DISTANCE</t>
  </si>
  <si>
    <t xml:space="preserve">ActionRegistry holds only AUTO_CREDIT_WALLET, so Transport decides T2 correctly and then escalates. Until this exists it is a well-tested way of creating tickets.</t>
  </si>
  <si>
    <t xml:space="preserve">45</t>
  </si>
  <si>
    <t xml:space="preserve">Transport to the Definition of Done</t>
  </si>
  <si>
    <t xml:space="preserve">facts/, dmn/, action/, reconcile/, runbook</t>
  </si>
  <si>
    <t xml:space="preserve">5,615/month, the highest-volume concern in the build.</t>
  </si>
  <si>
    <t xml:space="preserve">62, 27-31</t>
  </si>
  <si>
    <t xml:space="preserve">Forget MPIN to the Definition of Done</t>
  </si>
  <si>
    <t xml:space="preserve">forget-mpin process, runbook</t>
  </si>
  <si>
    <t xml:space="preserve">The only Tier 0/1 concern already built, and the whole of PRD Phase 1 that exists today.</t>
  </si>
  <si>
    <t xml:space="preserve">Product delay to the Definition of Done</t>
  </si>
  <si>
    <t xml:space="preserve">facts/ProductDeliveryFactProvider.java</t>
  </si>
  <si>
    <t xml:space="preserve">Held by the taxonomy decision: this concern has no L1 path in the PRD.</t>
  </si>
  <si>
    <t xml:space="preserve">9, 28</t>
  </si>
  <si>
    <t xml:space="preserve">Free-text triage: decide the classifier</t>
  </si>
  <si>
    <t xml:space="preserve">classifier-service/, classifier/HttpClassifierClient.java</t>
  </si>
  <si>
    <t xml:space="preserve">Still unmeasured — no key, no labelled real messages. The spec, prompt and scoring harness exist.</t>
  </si>
  <si>
    <t xml:space="preserve">Each further in-scope concern, one slice at a time</t>
  </si>
  <si>
    <t xml:space="preserve">Per concern: catalogue row, fact provider, .dmn, action if T2, tests, runbook</t>
  </si>
  <si>
    <t xml:space="preserve">A concern that reads, decides, acts and is observable is shippable. A layer is not.</t>
  </si>
  <si>
    <t xml:space="preserve">7 — The front door (NFR-01)</t>
  </si>
  <si>
    <t xml:space="preserve">Seed the full reconciled catalogue</t>
  </si>
  <si>
    <t xml:space="preserve">db/migration; concern_catalogue</t>
  </si>
  <si>
    <t xml:space="preserve">Help must fully replace Call Expert Care and the Ticket menu AT LAUNCH. Every concern must be reachable, even the ones the bot will not handle until Phase 3.</t>
  </si>
  <si>
    <t xml:space="preserve">9</t>
  </si>
  <si>
    <t xml:space="preserve">Every non-automated concern reaches an agent with context</t>
  </si>
  <si>
    <t xml:space="preserve">process/EscalationContextDelegate.java (built); everything after it is not</t>
  </si>
  <si>
    <t xml:space="preserve">The context row already works. The handover does not exist.</t>
  </si>
  <si>
    <t xml:space="preserve">68</t>
  </si>
  <si>
    <t xml:space="preserve">Agent 2 queue and tooling</t>
  </si>
  <si>
    <t xml:space="preserve">External surface + agent/AgentController.java</t>
  </si>
  <si>
    <t xml:space="preserve">The POC exposes REST endpoints. Agents need something to work in.</t>
  </si>
  <si>
    <t xml:space="preserve">69</t>
  </si>
  <si>
    <t xml:space="preserve">Outbound dialer and CTI screen-pop</t>
  </si>
  <si>
    <t xml:space="preserve">External integration</t>
  </si>
  <si>
    <t xml:space="preserve">NFR-04: the partner must never re-explain the issue.</t>
  </si>
  <si>
    <t xml:space="preserve">70</t>
  </si>
  <si>
    <t xml:space="preserve">Order dropdown, top-5 bookings</t>
  </si>
  <si>
    <t xml:space="preserve">New fact/step before fetchFacts; BPMN change</t>
  </si>
  <si>
    <t xml:space="preserve">R-01. Every booking-specific concern depends on it.</t>
  </si>
  <si>
    <t xml:space="preserve">Audio-note L1 selection</t>
  </si>
  <si>
    <t xml:space="preserve">New capability; likely the classifier</t>
  </si>
  <si>
    <t xml:space="preserve">NFR-08, Hindi/Hinglish. Does not exist in any form.</t>
  </si>
  <si>
    <t xml:space="preserve">66</t>
  </si>
  <si>
    <t xml:space="preserve">Medal bands and P1-P4 priorities</t>
  </si>
  <si>
    <t xml:space="preserve">escalation_context.medal_band, routing</t>
  </si>
  <si>
    <t xml:space="preserve">PRD Section 8. medalBand is currently absent — in no table this service can read.</t>
  </si>
  <si>
    <t xml:space="preserve">Agent-connect triggers C, D and E</t>
  </si>
  <si>
    <t xml:space="preserve">process/PreFlightDelegate.java, a shared trigger table</t>
  </si>
  <si>
    <t xml:space="preserve">B is built. D needs a shared table rather than a column per concern, or the concerns nobody remembers to add will silently never fire it.</t>
  </si>
  <si>
    <t xml:space="preserve">8 — Launch</t>
  </si>
  <si>
    <t xml:space="preserve">Shadow mode</t>
  </si>
  <si>
    <t xml:space="preserve">Log what the bot would decide beside what the agent did</t>
  </si>
  <si>
    <t xml:space="preserve">The cheapest way to find a wrong mapping before it pays anyone. No user-facing change, and the strongest argument available at the go/no-go.</t>
  </si>
  <si>
    <t xml:space="preserve">Compare shadow results per concern and set the go list</t>
  </si>
  <si>
    <t xml:space="preserve">Switch on the concerns where the bot and the agents agree. Hold the rest.</t>
  </si>
  <si>
    <t xml:space="preserve">76</t>
  </si>
  <si>
    <t xml:space="preserve">Load test to expected volume</t>
  </si>
  <si>
    <t xml:space="preserve">59,171 tickets a month is the sheet's June figure.</t>
  </si>
  <si>
    <t xml:space="preserve">Rollback drill</t>
  </si>
  <si>
    <t xml:space="preserve">Exercised on the real pipeline, with a real deployed version.</t>
  </si>
  <si>
    <t xml:space="preserve">24</t>
  </si>
  <si>
    <t xml:space="preserve">Go / no-go against the PRD KPIs</t>
  </si>
  <si>
    <t xml:space="preserve">docs/</t>
  </si>
  <si>
    <t xml:space="preserve">Automation rate, agent-connect rate, settlement accuracy, CSAT.</t>
  </si>
  <si>
    <t xml:space="preserve">77</t>
  </si>
  <si>
    <t xml:space="preserve">Steps</t>
  </si>
  <si>
    <t xml:space="preserve">Done</t>
  </si>
  <si>
    <t xml:space="preserve">In progress</t>
  </si>
  <si>
    <t xml:space="preserve">Blocked</t>
  </si>
  <si>
    <t xml:space="preserve">Complete</t>
  </si>
  <si>
    <t xml:space="preserve">TOTAL</t>
  </si>
  <si>
    <t xml:space="preserve">Phases 1 and 2 need no decision from anyone and can start immediately. Phase 7 is sized by other teams and should be tracked from the start even though it lands last.</t>
  </si>
  <si>
    <t xml:space="preserve">Definition of Done — a production concern</t>
  </si>
  <si>
    <t xml:space="preserve">Proposal for step 36. Agreed ONCE, before the first concern, so that "done" is not renegotiated per concern. A concern that misses any line is not done — it is demoable.</t>
  </si>
  <si>
    <t xml:space="preserve">Criterion</t>
  </si>
  <si>
    <t xml:space="preserve">How it is checked</t>
  </si>
  <si>
    <t xml:space="preserve">Every column it reads exists and is marked confirmed</t>
  </si>
  <si>
    <t xml:space="preserve">UatSchemaProbe passes against the production schema, and the deployment fails if it does not</t>
  </si>
  <si>
    <t xml:space="preserve">Every rule in its table is reachable, or documented as to why not</t>
  </si>
  <si>
    <t xml:space="preserve">The acceptance run fires them; docs/SIGNAL-REGISTER.md records any that cannot</t>
  </si>
  <si>
    <t xml:space="preserve">If it is T2, something can actually perform the action</t>
  </si>
  <si>
    <t xml:space="preserve">ActionRegistry.canPerform() returns true — otherwise it decides correctly and escalates</t>
  </si>
  <si>
    <t xml:space="preserve">Money moves inside the reversible window, not before it</t>
  </si>
  <si>
    <t xml:space="preserve">ticket_action carries a pending state; a finaliser closes it; a reversal path exists</t>
  </si>
  <si>
    <t xml:space="preserve">Idempotent against the real gateway, not the mock</t>
  </si>
  <si>
    <t xml:space="preserve">A repeat raise returns "already credited" and moves nothing</t>
  </si>
  <si>
    <t xml:space="preserve">Its kill switch works in the deployed environment</t>
  </si>
  <si>
    <t xml:space="preserve">Flip it; the next request routes to a human with no restart</t>
  </si>
  <si>
    <t xml:space="preserve">Reconciliation covers it, both directions</t>
  </si>
  <si>
    <t xml:space="preserve">Including the silent case: the gateway paid and we have no row</t>
  </si>
  <si>
    <t xml:space="preserve">Metrics emit for it</t>
  </si>
  <si>
    <t xml:space="preserve">Tier split, automation rate, action outcomes — per concern, not in aggregate</t>
  </si>
  <si>
    <t xml:space="preserve">Alerts exist for its failure modes</t>
  </si>
  <si>
    <t xml:space="preserve">At minimum: reconciliation mismatch, and an action attempted with no outcome recorded</t>
  </si>
  <si>
    <t xml:space="preserve">It has a runbook entry</t>
  </si>
  <si>
    <t xml:space="preserve">What to do when its source is down, when its action fails, how to switch it off</t>
  </si>
  <si>
    <t xml:space="preserve">It survives the acceptance run</t>
  </si>
  <si>
    <t xml:space="preserve">DemoScenarioRunTest is green on every mvn test</t>
  </si>
  <si>
    <t xml:space="preserve">Its escalation carries context</t>
  </si>
  <si>
    <t xml:space="preserve">The agent opens computed facts, not a transcript — the partner never re-explains</t>
  </si>
  <si>
    <t xml:space="preserve">Gate</t>
  </si>
  <si>
    <t xml:space="preserve">What must be true</t>
  </si>
  <si>
    <t xml:space="preserve">What it unblocks</t>
  </si>
  <si>
    <t xml:space="preserve">G1 — the data is known</t>
  </si>
  <si>
    <t xml:space="preserve">Probes 2 and 3 run; the five answers recorded</t>
  </si>
  <si>
    <t xml:space="preserve">Phase 2 in full. Transport and Recharge cannot be correct without them</t>
  </si>
  <si>
    <t xml:space="preserve">Not met</t>
  </si>
  <si>
    <t xml:space="preserve">G2 — the taxonomy is frozen</t>
  </si>
  <si>
    <t xml:space="preserve">The 8 reconciliation decisions taken; the catalogue migration written</t>
  </si>
  <si>
    <t xml:space="preserve">Every concern after the reference slice. 18,087 monthly cases in Product Issues and Violations have no agreed home until this is closed</t>
  </si>
  <si>
    <t xml:space="preserve">G3 — the service deploys</t>
  </si>
  <si>
    <t xml:space="preserve">Image builds, config per environment, secrets from Secrets Manager, rollback exercised</t>
  </si>
  <si>
    <t xml:space="preserve">Anything reaching a real partner</t>
  </si>
  <si>
    <t xml:space="preserve">G4 — money is safe on MySQL</t>
  </si>
  <si>
    <t xml:space="preserve">Transaction boundaries, duplicate guard and commit ordering re-proved on the real engine</t>
  </si>
  <si>
    <t xml:space="preserve">Any T2 concern in production</t>
  </si>
  <si>
    <t xml:space="preserve">G5 — the reference slice is done</t>
  </si>
  <si>
    <t xml:space="preserve">Recharge meets every line of the Definition of Done</t>
  </si>
  <si>
    <t xml:space="preserve">Phase 6. Until one concern is genuinely done, "done" is a guess</t>
  </si>
  <si>
    <t xml:space="preserve">G6 — the front door exists</t>
  </si>
  <si>
    <t xml:space="preserve">Every concern reachable through Help; agent handoff works end to end</t>
  </si>
  <si>
    <t xml:space="preserve">Launch. NFR-01 allows no parallel legacy entry point</t>
  </si>
  <si>
    <t xml:space="preserve">G7 — shadow agrees</t>
  </si>
  <si>
    <t xml:space="preserve">Bot decisions compared against agent actions, per concern</t>
  </si>
  <si>
    <t xml:space="preserve">Switching concerns on. This is the evidence the go/no-go rests 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</si>
</sst>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4468"/>
        <bgColor rgb="FF333333"/>
      </patternFill>
    </fill>
    <fill>
      <patternFill patternType="solid">
        <fgColor rgb="FFFBE3E2"/>
        <bgColor rgb="FFF3E8F5"/>
      </patternFill>
    </fill>
    <fill>
      <patternFill patternType="solid">
        <fgColor rgb="FFFDF0DC"/>
        <bgColor rgb="FFEFEFEF"/>
      </patternFill>
    </fill>
    <fill>
      <patternFill patternType="solid">
        <fgColor rgb="FFE7EDF8"/>
        <bgColor rgb="FFEFEFEF"/>
      </patternFill>
    </fill>
    <fill>
      <patternFill patternType="solid">
        <fgColor rgb="FFE8F3EC"/>
        <bgColor rgb="FFE7F5F7"/>
      </patternFill>
    </fill>
    <fill>
      <patternFill patternType="solid">
        <fgColor rgb="FFF3E8F5"/>
        <bgColor rgb="FFEFEFEF"/>
      </patternFill>
    </fill>
    <fill>
      <patternFill patternType="solid">
        <fgColor rgb="FFE7F5F7"/>
        <bgColor rgb="FFE8F3EC"/>
      </patternFill>
    </fill>
    <fill>
      <patternFill patternType="solid">
        <fgColor rgb="FFEFEFEF"/>
        <bgColor rgb="FFE8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44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DF8"/>
          <bgColor rgb="FF000000"/>
        </patternFill>
      </fill>
    </dxf>
    <dxf>
      <fill>
        <patternFill patternType="solid">
          <fgColor rgb="FFE7F5F7"/>
          <bgColor rgb="FF000000"/>
        </patternFill>
      </fill>
    </dxf>
    <dxf>
      <fill>
        <patternFill patternType="solid">
          <fgColor rgb="FFE8F3EC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3E8F5"/>
          <bgColor rgb="FF000000"/>
        </patternFill>
      </fill>
    </dxf>
    <dxf>
      <fill>
        <patternFill patternType="solid">
          <fgColor rgb="FFFBE3E2"/>
          <bgColor rgb="FF000000"/>
        </patternFill>
      </fill>
    </dxf>
    <dxf>
      <fill>
        <patternFill patternType="solid">
          <fgColor rgb="FFFDF0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8F5"/>
      <rgbColor rgb="FF808080"/>
      <rgbColor rgb="FF9999FF"/>
      <rgbColor rgb="FF993366"/>
      <rgbColor rgb="FFFDF0DC"/>
      <rgbColor rgb="FFE7F5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C"/>
      <rgbColor rgb="FFE7EDF8"/>
      <rgbColor rgb="FFEFEFEF"/>
      <rgbColor rgb="FF99CCFF"/>
      <rgbColor rgb="FFFF99CC"/>
      <rgbColor rgb="FFCC99FF"/>
      <rgbColor rgb="FFFBE3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4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2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6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23.8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customFormat="false" ht="22.35" hidden="false" customHeight="false" outlineLevel="0" collapsed="false">
      <c r="A2" s="5" t="n">
        <v>1</v>
      </c>
      <c r="B2" s="6" t="s">
        <v>29</v>
      </c>
      <c r="C2" s="7" t="s">
        <v>30</v>
      </c>
      <c r="D2" s="8" t="s">
        <v>31</v>
      </c>
      <c r="E2" s="8" t="s">
        <v>32</v>
      </c>
      <c r="F2" s="5" t="s">
        <v>33</v>
      </c>
      <c r="G2" s="5" t="s">
        <v>34</v>
      </c>
      <c r="H2" s="5" t="s">
        <v>35</v>
      </c>
      <c r="I2" s="5"/>
    </row>
    <row r="3" customFormat="false" ht="22.35" hidden="false" customHeight="false" outlineLevel="0" collapsed="false">
      <c r="A3" s="5" t="n">
        <v>2</v>
      </c>
      <c r="B3" s="6" t="s">
        <v>29</v>
      </c>
      <c r="C3" s="7" t="s">
        <v>36</v>
      </c>
      <c r="D3" s="8" t="s">
        <v>31</v>
      </c>
      <c r="E3" s="8" t="s">
        <v>37</v>
      </c>
      <c r="F3" s="5" t="s">
        <v>33</v>
      </c>
      <c r="G3" s="5" t="s">
        <v>34</v>
      </c>
      <c r="H3" s="5" t="s">
        <v>35</v>
      </c>
      <c r="I3" s="5"/>
    </row>
    <row r="4" customFormat="false" ht="15" hidden="false" customHeight="false" outlineLevel="0" collapsed="false">
      <c r="A4" s="5" t="n">
        <v>3</v>
      </c>
      <c r="B4" s="6" t="s">
        <v>29</v>
      </c>
      <c r="C4" s="7" t="s">
        <v>38</v>
      </c>
      <c r="D4" s="8" t="s">
        <v>39</v>
      </c>
      <c r="E4" s="8" t="s">
        <v>40</v>
      </c>
      <c r="F4" s="5" t="s">
        <v>41</v>
      </c>
      <c r="G4" s="5" t="s">
        <v>34</v>
      </c>
      <c r="H4" s="5" t="s">
        <v>35</v>
      </c>
      <c r="I4" s="5"/>
    </row>
    <row r="5" customFormat="false" ht="22.35" hidden="false" customHeight="false" outlineLevel="0" collapsed="false">
      <c r="A5" s="5" t="n">
        <v>4</v>
      </c>
      <c r="B5" s="6" t="s">
        <v>29</v>
      </c>
      <c r="C5" s="7" t="s">
        <v>42</v>
      </c>
      <c r="D5" s="8" t="s">
        <v>43</v>
      </c>
      <c r="E5" s="8" t="s">
        <v>44</v>
      </c>
      <c r="F5" s="5" t="s">
        <v>33</v>
      </c>
      <c r="G5" s="9" t="s">
        <v>45</v>
      </c>
      <c r="H5" s="5" t="s">
        <v>35</v>
      </c>
      <c r="I5" s="5"/>
    </row>
    <row r="6" customFormat="false" ht="22.35" hidden="false" customHeight="false" outlineLevel="0" collapsed="false">
      <c r="A6" s="5" t="n">
        <v>5</v>
      </c>
      <c r="B6" s="6" t="s">
        <v>29</v>
      </c>
      <c r="C6" s="7" t="s">
        <v>46</v>
      </c>
      <c r="D6" s="8" t="s">
        <v>43</v>
      </c>
      <c r="E6" s="8" t="s">
        <v>47</v>
      </c>
      <c r="F6" s="5" t="s">
        <v>48</v>
      </c>
      <c r="G6" s="9" t="s">
        <v>45</v>
      </c>
      <c r="H6" s="5" t="s">
        <v>35</v>
      </c>
      <c r="I6" s="5"/>
    </row>
    <row r="7" customFormat="false" ht="22.35" hidden="false" customHeight="false" outlineLevel="0" collapsed="false">
      <c r="A7" s="5" t="n">
        <v>6</v>
      </c>
      <c r="B7" s="6" t="s">
        <v>29</v>
      </c>
      <c r="C7" s="7" t="s">
        <v>49</v>
      </c>
      <c r="D7" s="8" t="s">
        <v>43</v>
      </c>
      <c r="E7" s="8" t="s">
        <v>50</v>
      </c>
      <c r="F7" s="5" t="s">
        <v>51</v>
      </c>
      <c r="G7" s="9" t="s">
        <v>45</v>
      </c>
      <c r="H7" s="5" t="s">
        <v>35</v>
      </c>
      <c r="I7" s="5"/>
    </row>
    <row r="8" customFormat="false" ht="15" hidden="false" customHeight="false" outlineLevel="0" collapsed="false">
      <c r="A8" s="5" t="n">
        <v>7</v>
      </c>
      <c r="B8" s="6" t="s">
        <v>29</v>
      </c>
      <c r="C8" s="7" t="s">
        <v>52</v>
      </c>
      <c r="D8" s="8" t="s">
        <v>53</v>
      </c>
      <c r="E8" s="8" t="s">
        <v>54</v>
      </c>
      <c r="F8" s="5" t="s">
        <v>33</v>
      </c>
      <c r="G8" s="9" t="s">
        <v>45</v>
      </c>
      <c r="H8" s="5" t="s">
        <v>35</v>
      </c>
      <c r="I8" s="5"/>
    </row>
    <row r="9" customFormat="false" ht="22.35" hidden="false" customHeight="false" outlineLevel="0" collapsed="false">
      <c r="A9" s="5" t="n">
        <v>8</v>
      </c>
      <c r="B9" s="6" t="s">
        <v>29</v>
      </c>
      <c r="C9" s="7" t="s">
        <v>55</v>
      </c>
      <c r="D9" s="8" t="s">
        <v>56</v>
      </c>
      <c r="E9" s="8" t="s">
        <v>57</v>
      </c>
      <c r="F9" s="5" t="s">
        <v>33</v>
      </c>
      <c r="G9" s="9" t="s">
        <v>45</v>
      </c>
      <c r="H9" s="5" t="s">
        <v>35</v>
      </c>
      <c r="I9" s="5"/>
    </row>
    <row r="10" customFormat="false" ht="23.85" hidden="false" customHeight="false" outlineLevel="0" collapsed="false">
      <c r="A10" s="5" t="n">
        <v>9</v>
      </c>
      <c r="B10" s="6" t="s">
        <v>29</v>
      </c>
      <c r="C10" s="7" t="s">
        <v>58</v>
      </c>
      <c r="D10" s="8" t="s">
        <v>59</v>
      </c>
      <c r="E10" s="8" t="s">
        <v>60</v>
      </c>
      <c r="F10" s="5" t="s">
        <v>48</v>
      </c>
      <c r="G10" s="9" t="s">
        <v>45</v>
      </c>
      <c r="H10" s="5" t="s">
        <v>35</v>
      </c>
      <c r="I10" s="5"/>
    </row>
    <row r="11" customFormat="false" ht="23.85" hidden="false" customHeight="false" outlineLevel="0" collapsed="false">
      <c r="A11" s="5" t="n">
        <v>10</v>
      </c>
      <c r="B11" s="10" t="s">
        <v>61</v>
      </c>
      <c r="C11" s="7" t="s">
        <v>62</v>
      </c>
      <c r="D11" s="8" t="s">
        <v>63</v>
      </c>
      <c r="E11" s="8" t="s">
        <v>64</v>
      </c>
      <c r="F11" s="5" t="s">
        <v>33</v>
      </c>
      <c r="G11" s="5" t="s">
        <v>34</v>
      </c>
      <c r="H11" s="5" t="s">
        <v>35</v>
      </c>
      <c r="I11" s="5"/>
    </row>
    <row r="12" customFormat="false" ht="23.85" hidden="false" customHeight="false" outlineLevel="0" collapsed="false">
      <c r="A12" s="5" t="n">
        <v>11</v>
      </c>
      <c r="B12" s="10" t="s">
        <v>61</v>
      </c>
      <c r="C12" s="7" t="s">
        <v>65</v>
      </c>
      <c r="D12" s="8" t="s">
        <v>66</v>
      </c>
      <c r="E12" s="8" t="s">
        <v>67</v>
      </c>
      <c r="F12" s="5" t="s">
        <v>68</v>
      </c>
      <c r="G12" s="5" t="s">
        <v>34</v>
      </c>
      <c r="H12" s="5" t="s">
        <v>35</v>
      </c>
      <c r="I12" s="5"/>
    </row>
    <row r="13" customFormat="false" ht="23.85" hidden="false" customHeight="false" outlineLevel="0" collapsed="false">
      <c r="A13" s="5" t="n">
        <v>12</v>
      </c>
      <c r="B13" s="10" t="s">
        <v>61</v>
      </c>
      <c r="C13" s="7" t="s">
        <v>69</v>
      </c>
      <c r="D13" s="8" t="s">
        <v>70</v>
      </c>
      <c r="E13" s="8" t="s">
        <v>71</v>
      </c>
      <c r="F13" s="5" t="s">
        <v>68</v>
      </c>
      <c r="G13" s="5" t="s">
        <v>34</v>
      </c>
      <c r="H13" s="5" t="s">
        <v>35</v>
      </c>
      <c r="I13" s="5"/>
    </row>
    <row r="14" customFormat="false" ht="23.85" hidden="false" customHeight="false" outlineLevel="0" collapsed="false">
      <c r="A14" s="5" t="n">
        <v>13</v>
      </c>
      <c r="B14" s="10" t="s">
        <v>61</v>
      </c>
      <c r="C14" s="7" t="s">
        <v>72</v>
      </c>
      <c r="D14" s="8" t="s">
        <v>73</v>
      </c>
      <c r="E14" s="8" t="s">
        <v>74</v>
      </c>
      <c r="F14" s="5" t="s">
        <v>75</v>
      </c>
      <c r="G14" s="9" t="s">
        <v>45</v>
      </c>
      <c r="H14" s="5" t="s">
        <v>35</v>
      </c>
      <c r="I14" s="5"/>
    </row>
    <row r="15" customFormat="false" ht="32.8" hidden="false" customHeight="false" outlineLevel="0" collapsed="false">
      <c r="A15" s="5" t="n">
        <v>14</v>
      </c>
      <c r="B15" s="10" t="s">
        <v>61</v>
      </c>
      <c r="C15" s="7" t="s">
        <v>76</v>
      </c>
      <c r="D15" s="8" t="s">
        <v>77</v>
      </c>
      <c r="E15" s="8" t="s">
        <v>78</v>
      </c>
      <c r="F15" s="5" t="s">
        <v>79</v>
      </c>
      <c r="G15" s="9" t="s">
        <v>45</v>
      </c>
      <c r="H15" s="5" t="s">
        <v>35</v>
      </c>
      <c r="I15" s="5"/>
    </row>
    <row r="16" customFormat="false" ht="23.85" hidden="false" customHeight="false" outlineLevel="0" collapsed="false">
      <c r="A16" s="5" t="n">
        <v>15</v>
      </c>
      <c r="B16" s="10" t="s">
        <v>61</v>
      </c>
      <c r="C16" s="7" t="s">
        <v>80</v>
      </c>
      <c r="D16" s="8" t="s">
        <v>81</v>
      </c>
      <c r="E16" s="8" t="s">
        <v>82</v>
      </c>
      <c r="F16" s="5" t="s">
        <v>83</v>
      </c>
      <c r="G16" s="9" t="s">
        <v>45</v>
      </c>
      <c r="H16" s="5" t="s">
        <v>35</v>
      </c>
      <c r="I16" s="5"/>
    </row>
    <row r="17" customFormat="false" ht="23.85" hidden="false" customHeight="false" outlineLevel="0" collapsed="false">
      <c r="A17" s="5" t="n">
        <v>16</v>
      </c>
      <c r="B17" s="10" t="s">
        <v>61</v>
      </c>
      <c r="C17" s="7" t="s">
        <v>84</v>
      </c>
      <c r="D17" s="8" t="s">
        <v>85</v>
      </c>
      <c r="E17" s="8" t="s">
        <v>86</v>
      </c>
      <c r="F17" s="5" t="s">
        <v>83</v>
      </c>
      <c r="G17" s="5" t="s">
        <v>34</v>
      </c>
      <c r="H17" s="5" t="s">
        <v>35</v>
      </c>
      <c r="I17" s="5"/>
    </row>
    <row r="18" customFormat="false" ht="23.85" hidden="false" customHeight="false" outlineLevel="0" collapsed="false">
      <c r="A18" s="5" t="n">
        <v>17</v>
      </c>
      <c r="B18" s="10" t="s">
        <v>61</v>
      </c>
      <c r="C18" s="7" t="s">
        <v>87</v>
      </c>
      <c r="D18" s="8" t="s">
        <v>88</v>
      </c>
      <c r="E18" s="8" t="s">
        <v>89</v>
      </c>
      <c r="F18" s="5" t="s">
        <v>90</v>
      </c>
      <c r="G18" s="5" t="s">
        <v>34</v>
      </c>
      <c r="H18" s="5" t="s">
        <v>35</v>
      </c>
      <c r="I18" s="5"/>
    </row>
    <row r="19" customFormat="false" ht="23.85" hidden="false" customHeight="false" outlineLevel="0" collapsed="false">
      <c r="A19" s="5" t="n">
        <v>18</v>
      </c>
      <c r="B19" s="10" t="s">
        <v>61</v>
      </c>
      <c r="C19" s="7" t="s">
        <v>91</v>
      </c>
      <c r="D19" s="8" t="s">
        <v>92</v>
      </c>
      <c r="E19" s="8" t="s">
        <v>93</v>
      </c>
      <c r="F19" s="5" t="s">
        <v>83</v>
      </c>
      <c r="G19" s="5" t="s">
        <v>34</v>
      </c>
      <c r="H19" s="5" t="s">
        <v>35</v>
      </c>
      <c r="I19" s="5"/>
    </row>
    <row r="20" customFormat="false" ht="23.85" hidden="false" customHeight="false" outlineLevel="0" collapsed="false">
      <c r="A20" s="5" t="n">
        <v>19</v>
      </c>
      <c r="B20" s="10" t="s">
        <v>61</v>
      </c>
      <c r="C20" s="7" t="s">
        <v>94</v>
      </c>
      <c r="D20" s="8" t="s">
        <v>95</v>
      </c>
      <c r="E20" s="8" t="s">
        <v>96</v>
      </c>
      <c r="F20" s="5" t="s">
        <v>83</v>
      </c>
      <c r="G20" s="9" t="s">
        <v>45</v>
      </c>
      <c r="H20" s="5" t="s">
        <v>35</v>
      </c>
      <c r="I20" s="5"/>
    </row>
    <row r="21" customFormat="false" ht="23.85" hidden="false" customHeight="false" outlineLevel="0" collapsed="false">
      <c r="A21" s="5" t="n">
        <v>20</v>
      </c>
      <c r="B21" s="10" t="s">
        <v>61</v>
      </c>
      <c r="C21" s="7" t="s">
        <v>97</v>
      </c>
      <c r="D21" s="8" t="s">
        <v>98</v>
      </c>
      <c r="E21" s="8" t="s">
        <v>99</v>
      </c>
      <c r="F21" s="5" t="s">
        <v>100</v>
      </c>
      <c r="G21" s="9" t="s">
        <v>45</v>
      </c>
      <c r="H21" s="5" t="s">
        <v>35</v>
      </c>
      <c r="I21" s="5"/>
    </row>
    <row r="22" customFormat="false" ht="23.85" hidden="false" customHeight="false" outlineLevel="0" collapsed="false">
      <c r="A22" s="5" t="n">
        <v>21</v>
      </c>
      <c r="B22" s="10" t="s">
        <v>61</v>
      </c>
      <c r="C22" s="7" t="s">
        <v>101</v>
      </c>
      <c r="D22" s="8" t="s">
        <v>102</v>
      </c>
      <c r="E22" s="8" t="s">
        <v>33</v>
      </c>
      <c r="F22" s="5" t="s">
        <v>75</v>
      </c>
      <c r="G22" s="5" t="s">
        <v>34</v>
      </c>
      <c r="H22" s="5" t="s">
        <v>35</v>
      </c>
      <c r="I22" s="5"/>
    </row>
    <row r="23" customFormat="false" ht="32.8" hidden="false" customHeight="false" outlineLevel="0" collapsed="false">
      <c r="A23" s="5" t="n">
        <v>22</v>
      </c>
      <c r="B23" s="10" t="s">
        <v>61</v>
      </c>
      <c r="C23" s="7" t="s">
        <v>103</v>
      </c>
      <c r="D23" s="8" t="s">
        <v>104</v>
      </c>
      <c r="E23" s="8" t="s">
        <v>105</v>
      </c>
      <c r="F23" s="5" t="s">
        <v>106</v>
      </c>
      <c r="G23" s="5" t="s">
        <v>34</v>
      </c>
      <c r="H23" s="5" t="s">
        <v>35</v>
      </c>
      <c r="I23" s="5"/>
    </row>
    <row r="24" customFormat="false" ht="23.85" hidden="false" customHeight="false" outlineLevel="0" collapsed="false">
      <c r="A24" s="5" t="n">
        <v>23</v>
      </c>
      <c r="B24" s="10" t="s">
        <v>61</v>
      </c>
      <c r="C24" s="7" t="s">
        <v>107</v>
      </c>
      <c r="D24" s="8" t="s">
        <v>108</v>
      </c>
      <c r="E24" s="8" t="s">
        <v>109</v>
      </c>
      <c r="F24" s="5" t="s">
        <v>110</v>
      </c>
      <c r="G24" s="5" t="s">
        <v>34</v>
      </c>
      <c r="H24" s="5" t="s">
        <v>35</v>
      </c>
      <c r="I24" s="5"/>
    </row>
    <row r="25" customFormat="false" ht="23.85" hidden="false" customHeight="false" outlineLevel="0" collapsed="false">
      <c r="A25" s="5" t="n">
        <v>24</v>
      </c>
      <c r="B25" s="10" t="s">
        <v>61</v>
      </c>
      <c r="C25" s="7" t="s">
        <v>111</v>
      </c>
      <c r="D25" s="8" t="s">
        <v>112</v>
      </c>
      <c r="E25" s="8" t="s">
        <v>113</v>
      </c>
      <c r="F25" s="5" t="s">
        <v>114</v>
      </c>
      <c r="G25" s="9" t="s">
        <v>45</v>
      </c>
      <c r="H25" s="5" t="s">
        <v>35</v>
      </c>
      <c r="I25" s="5"/>
    </row>
    <row r="26" customFormat="false" ht="23.85" hidden="false" customHeight="false" outlineLevel="0" collapsed="false">
      <c r="A26" s="5" t="n">
        <v>25</v>
      </c>
      <c r="B26" s="10" t="s">
        <v>61</v>
      </c>
      <c r="C26" s="7" t="s">
        <v>115</v>
      </c>
      <c r="D26" s="8" t="s">
        <v>116</v>
      </c>
      <c r="E26" s="8" t="s">
        <v>117</v>
      </c>
      <c r="F26" s="5" t="s">
        <v>75</v>
      </c>
      <c r="G26" s="5" t="s">
        <v>34</v>
      </c>
      <c r="H26" s="5" t="s">
        <v>35</v>
      </c>
      <c r="I26" s="5"/>
    </row>
    <row r="27" customFormat="false" ht="23.85" hidden="false" customHeight="false" outlineLevel="0" collapsed="false">
      <c r="A27" s="5" t="n">
        <v>26</v>
      </c>
      <c r="B27" s="10" t="s">
        <v>61</v>
      </c>
      <c r="C27" s="7" t="s">
        <v>118</v>
      </c>
      <c r="D27" s="8" t="s">
        <v>119</v>
      </c>
      <c r="E27" s="8" t="s">
        <v>120</v>
      </c>
      <c r="F27" s="5" t="s">
        <v>75</v>
      </c>
      <c r="G27" s="9" t="s">
        <v>45</v>
      </c>
      <c r="H27" s="5" t="s">
        <v>35</v>
      </c>
      <c r="I27" s="5"/>
    </row>
    <row r="28" customFormat="false" ht="22.35" hidden="false" customHeight="false" outlineLevel="0" collapsed="false">
      <c r="A28" s="5" t="n">
        <v>27</v>
      </c>
      <c r="B28" s="11" t="s">
        <v>121</v>
      </c>
      <c r="C28" s="7" t="s">
        <v>122</v>
      </c>
      <c r="D28" s="8" t="s">
        <v>123</v>
      </c>
      <c r="E28" s="8" t="s">
        <v>124</v>
      </c>
      <c r="F28" s="5" t="s">
        <v>125</v>
      </c>
      <c r="G28" s="5" t="s">
        <v>34</v>
      </c>
      <c r="H28" s="5" t="s">
        <v>35</v>
      </c>
      <c r="I28" s="5"/>
    </row>
    <row r="29" customFormat="false" ht="15" hidden="false" customHeight="false" outlineLevel="0" collapsed="false">
      <c r="A29" s="5" t="n">
        <v>28</v>
      </c>
      <c r="B29" s="11" t="s">
        <v>121</v>
      </c>
      <c r="C29" s="7" t="s">
        <v>126</v>
      </c>
      <c r="D29" s="8" t="s">
        <v>127</v>
      </c>
      <c r="E29" s="8" t="s">
        <v>128</v>
      </c>
      <c r="F29" s="5" t="s">
        <v>125</v>
      </c>
      <c r="G29" s="5" t="s">
        <v>34</v>
      </c>
      <c r="H29" s="5" t="s">
        <v>35</v>
      </c>
      <c r="I29" s="5"/>
    </row>
    <row r="30" customFormat="false" ht="22.35" hidden="false" customHeight="false" outlineLevel="0" collapsed="false">
      <c r="A30" s="5" t="n">
        <v>29</v>
      </c>
      <c r="B30" s="11" t="s">
        <v>121</v>
      </c>
      <c r="C30" s="7" t="s">
        <v>129</v>
      </c>
      <c r="D30" s="8" t="s">
        <v>130</v>
      </c>
      <c r="E30" s="8" t="s">
        <v>131</v>
      </c>
      <c r="F30" s="5" t="s">
        <v>125</v>
      </c>
      <c r="G30" s="9" t="s">
        <v>45</v>
      </c>
      <c r="H30" s="5" t="s">
        <v>35</v>
      </c>
      <c r="I30" s="5"/>
    </row>
    <row r="31" customFormat="false" ht="23.85" hidden="false" customHeight="false" outlineLevel="0" collapsed="false">
      <c r="A31" s="5" t="n">
        <v>30</v>
      </c>
      <c r="B31" s="11" t="s">
        <v>121</v>
      </c>
      <c r="C31" s="7" t="s">
        <v>132</v>
      </c>
      <c r="D31" s="8" t="s">
        <v>133</v>
      </c>
      <c r="E31" s="8" t="s">
        <v>134</v>
      </c>
      <c r="F31" s="5" t="s">
        <v>135</v>
      </c>
      <c r="G31" s="9" t="s">
        <v>45</v>
      </c>
      <c r="H31" s="5" t="s">
        <v>35</v>
      </c>
      <c r="I31" s="5"/>
    </row>
    <row r="32" customFormat="false" ht="22.35" hidden="false" customHeight="false" outlineLevel="0" collapsed="false">
      <c r="A32" s="5" t="n">
        <v>31</v>
      </c>
      <c r="B32" s="11" t="s">
        <v>121</v>
      </c>
      <c r="C32" s="7" t="s">
        <v>136</v>
      </c>
      <c r="D32" s="8" t="s">
        <v>137</v>
      </c>
      <c r="E32" s="8" t="s">
        <v>138</v>
      </c>
      <c r="F32" s="5" t="s">
        <v>125</v>
      </c>
      <c r="G32" s="9" t="s">
        <v>45</v>
      </c>
      <c r="H32" s="5" t="s">
        <v>35</v>
      </c>
      <c r="I32" s="5"/>
    </row>
    <row r="33" customFormat="false" ht="15" hidden="false" customHeight="false" outlineLevel="0" collapsed="false">
      <c r="A33" s="5" t="n">
        <v>32</v>
      </c>
      <c r="B33" s="11" t="s">
        <v>121</v>
      </c>
      <c r="C33" s="7" t="s">
        <v>139</v>
      </c>
      <c r="D33" s="8" t="s">
        <v>140</v>
      </c>
      <c r="E33" s="8" t="s">
        <v>141</v>
      </c>
      <c r="F33" s="5" t="s">
        <v>125</v>
      </c>
      <c r="G33" s="9" t="s">
        <v>45</v>
      </c>
      <c r="H33" s="5" t="s">
        <v>35</v>
      </c>
      <c r="I33" s="5"/>
    </row>
    <row r="34" customFormat="false" ht="15" hidden="false" customHeight="false" outlineLevel="0" collapsed="false">
      <c r="A34" s="5" t="n">
        <v>33</v>
      </c>
      <c r="B34" s="11" t="s">
        <v>121</v>
      </c>
      <c r="C34" s="7" t="s">
        <v>142</v>
      </c>
      <c r="D34" s="8" t="s">
        <v>143</v>
      </c>
      <c r="E34" s="8" t="s">
        <v>144</v>
      </c>
      <c r="F34" s="5" t="s">
        <v>145</v>
      </c>
      <c r="G34" s="5" t="s">
        <v>34</v>
      </c>
      <c r="H34" s="5" t="s">
        <v>35</v>
      </c>
      <c r="I34" s="5"/>
    </row>
    <row r="35" customFormat="false" ht="15" hidden="false" customHeight="false" outlineLevel="0" collapsed="false">
      <c r="A35" s="5" t="n">
        <v>34</v>
      </c>
      <c r="B35" s="11" t="s">
        <v>121</v>
      </c>
      <c r="C35" s="7" t="s">
        <v>146</v>
      </c>
      <c r="D35" s="8" t="s">
        <v>147</v>
      </c>
      <c r="E35" s="8" t="s">
        <v>148</v>
      </c>
      <c r="F35" s="5" t="s">
        <v>149</v>
      </c>
      <c r="G35" s="5" t="s">
        <v>34</v>
      </c>
      <c r="H35" s="5" t="s">
        <v>35</v>
      </c>
      <c r="I35" s="5"/>
    </row>
    <row r="36" customFormat="false" ht="23.85" hidden="false" customHeight="false" outlineLevel="0" collapsed="false">
      <c r="A36" s="5" t="n">
        <v>35</v>
      </c>
      <c r="B36" s="11" t="s">
        <v>121</v>
      </c>
      <c r="C36" s="7" t="s">
        <v>150</v>
      </c>
      <c r="D36" s="8" t="s">
        <v>151</v>
      </c>
      <c r="E36" s="8" t="s">
        <v>152</v>
      </c>
      <c r="F36" s="5" t="s">
        <v>153</v>
      </c>
      <c r="G36" s="5" t="s">
        <v>34</v>
      </c>
      <c r="H36" s="5" t="s">
        <v>35</v>
      </c>
      <c r="I36" s="5"/>
    </row>
    <row r="37" customFormat="false" ht="23.85" hidden="false" customHeight="false" outlineLevel="0" collapsed="false">
      <c r="A37" s="5" t="n">
        <v>36</v>
      </c>
      <c r="B37" s="12" t="s">
        <v>154</v>
      </c>
      <c r="C37" s="7" t="s">
        <v>155</v>
      </c>
      <c r="D37" s="8" t="s">
        <v>156</v>
      </c>
      <c r="E37" s="8" t="s">
        <v>157</v>
      </c>
      <c r="F37" s="5" t="s">
        <v>33</v>
      </c>
      <c r="G37" s="9" t="s">
        <v>45</v>
      </c>
      <c r="H37" s="5" t="s">
        <v>35</v>
      </c>
      <c r="I37" s="5"/>
    </row>
    <row r="38" customFormat="false" ht="32.8" hidden="false" customHeight="false" outlineLevel="0" collapsed="false">
      <c r="A38" s="5" t="n">
        <v>37</v>
      </c>
      <c r="B38" s="12" t="s">
        <v>154</v>
      </c>
      <c r="C38" s="7" t="s">
        <v>158</v>
      </c>
      <c r="D38" s="8" t="s">
        <v>159</v>
      </c>
      <c r="E38" s="8" t="s">
        <v>160</v>
      </c>
      <c r="F38" s="5" t="s">
        <v>161</v>
      </c>
      <c r="G38" s="9" t="s">
        <v>45</v>
      </c>
      <c r="H38" s="5" t="s">
        <v>35</v>
      </c>
      <c r="I38" s="5"/>
    </row>
    <row r="39" customFormat="false" ht="23.85" hidden="false" customHeight="false" outlineLevel="0" collapsed="false">
      <c r="A39" s="5" t="n">
        <v>38</v>
      </c>
      <c r="B39" s="12" t="s">
        <v>154</v>
      </c>
      <c r="C39" s="7" t="s">
        <v>162</v>
      </c>
      <c r="D39" s="8" t="s">
        <v>163</v>
      </c>
      <c r="E39" s="8" t="s">
        <v>164</v>
      </c>
      <c r="F39" s="5" t="s">
        <v>165</v>
      </c>
      <c r="G39" s="9" t="s">
        <v>45</v>
      </c>
      <c r="H39" s="5" t="s">
        <v>35</v>
      </c>
      <c r="I39" s="5"/>
    </row>
    <row r="40" customFormat="false" ht="23.85" hidden="false" customHeight="false" outlineLevel="0" collapsed="false">
      <c r="A40" s="5" t="n">
        <v>39</v>
      </c>
      <c r="B40" s="12" t="s">
        <v>154</v>
      </c>
      <c r="C40" s="7" t="s">
        <v>166</v>
      </c>
      <c r="D40" s="8" t="s">
        <v>167</v>
      </c>
      <c r="E40" s="8" t="s">
        <v>168</v>
      </c>
      <c r="F40" s="5" t="s">
        <v>169</v>
      </c>
      <c r="G40" s="9" t="s">
        <v>45</v>
      </c>
      <c r="H40" s="5" t="s">
        <v>35</v>
      </c>
      <c r="I40" s="5"/>
    </row>
    <row r="41" customFormat="false" ht="23.85" hidden="false" customHeight="false" outlineLevel="0" collapsed="false">
      <c r="A41" s="5" t="n">
        <v>40</v>
      </c>
      <c r="B41" s="12" t="s">
        <v>154</v>
      </c>
      <c r="C41" s="7" t="s">
        <v>170</v>
      </c>
      <c r="D41" s="8" t="s">
        <v>171</v>
      </c>
      <c r="E41" s="8" t="s">
        <v>172</v>
      </c>
      <c r="F41" s="5" t="s">
        <v>173</v>
      </c>
      <c r="G41" s="9" t="s">
        <v>45</v>
      </c>
      <c r="H41" s="5" t="s">
        <v>35</v>
      </c>
      <c r="I41" s="5"/>
    </row>
    <row r="42" customFormat="false" ht="23.85" hidden="false" customHeight="false" outlineLevel="0" collapsed="false">
      <c r="A42" s="5" t="n">
        <v>41</v>
      </c>
      <c r="B42" s="12" t="s">
        <v>154</v>
      </c>
      <c r="C42" s="7" t="s">
        <v>174</v>
      </c>
      <c r="D42" s="8" t="s">
        <v>175</v>
      </c>
      <c r="E42" s="8" t="s">
        <v>176</v>
      </c>
      <c r="F42" s="5" t="s">
        <v>173</v>
      </c>
      <c r="G42" s="9" t="s">
        <v>45</v>
      </c>
      <c r="H42" s="5" t="s">
        <v>35</v>
      </c>
      <c r="I42" s="5"/>
    </row>
    <row r="43" customFormat="false" ht="23.85" hidden="false" customHeight="false" outlineLevel="0" collapsed="false">
      <c r="A43" s="5" t="n">
        <v>42</v>
      </c>
      <c r="B43" s="12" t="s">
        <v>154</v>
      </c>
      <c r="C43" s="7" t="s">
        <v>177</v>
      </c>
      <c r="D43" s="8" t="s">
        <v>178</v>
      </c>
      <c r="E43" s="8" t="s">
        <v>179</v>
      </c>
      <c r="F43" s="5" t="s">
        <v>165</v>
      </c>
      <c r="G43" s="9" t="s">
        <v>45</v>
      </c>
      <c r="H43" s="5" t="s">
        <v>35</v>
      </c>
      <c r="I43" s="5"/>
    </row>
    <row r="44" customFormat="false" ht="23.85" hidden="false" customHeight="false" outlineLevel="0" collapsed="false">
      <c r="A44" s="5" t="n">
        <v>43</v>
      </c>
      <c r="B44" s="12" t="s">
        <v>154</v>
      </c>
      <c r="C44" s="7" t="s">
        <v>180</v>
      </c>
      <c r="D44" s="8" t="s">
        <v>181</v>
      </c>
      <c r="E44" s="8" t="s">
        <v>182</v>
      </c>
      <c r="F44" s="5" t="s">
        <v>183</v>
      </c>
      <c r="G44" s="5" t="s">
        <v>34</v>
      </c>
      <c r="H44" s="5" t="s">
        <v>35</v>
      </c>
      <c r="I44" s="5"/>
    </row>
    <row r="45" customFormat="false" ht="23.85" hidden="false" customHeight="false" outlineLevel="0" collapsed="false">
      <c r="A45" s="5" t="n">
        <v>44</v>
      </c>
      <c r="B45" s="12" t="s">
        <v>154</v>
      </c>
      <c r="C45" s="7" t="s">
        <v>184</v>
      </c>
      <c r="D45" s="8" t="s">
        <v>185</v>
      </c>
      <c r="E45" s="8" t="s">
        <v>186</v>
      </c>
      <c r="F45" s="5" t="s">
        <v>173</v>
      </c>
      <c r="G45" s="5" t="s">
        <v>34</v>
      </c>
      <c r="H45" s="5" t="s">
        <v>35</v>
      </c>
      <c r="I45" s="5"/>
    </row>
    <row r="46" customFormat="false" ht="23.85" hidden="false" customHeight="false" outlineLevel="0" collapsed="false">
      <c r="A46" s="5" t="n">
        <v>45</v>
      </c>
      <c r="B46" s="12" t="s">
        <v>154</v>
      </c>
      <c r="C46" s="7" t="s">
        <v>187</v>
      </c>
      <c r="D46" s="8" t="s">
        <v>33</v>
      </c>
      <c r="E46" s="8" t="s">
        <v>188</v>
      </c>
      <c r="F46" s="5" t="s">
        <v>189</v>
      </c>
      <c r="G46" s="9" t="s">
        <v>45</v>
      </c>
      <c r="H46" s="5" t="s">
        <v>35</v>
      </c>
      <c r="I46" s="5"/>
    </row>
    <row r="47" customFormat="false" ht="22.35" hidden="false" customHeight="false" outlineLevel="0" collapsed="false">
      <c r="A47" s="5" t="n">
        <v>46</v>
      </c>
      <c r="B47" s="13" t="s">
        <v>190</v>
      </c>
      <c r="C47" s="7" t="s">
        <v>191</v>
      </c>
      <c r="D47" s="8" t="s">
        <v>192</v>
      </c>
      <c r="E47" s="8" t="s">
        <v>193</v>
      </c>
      <c r="F47" s="5" t="s">
        <v>68</v>
      </c>
      <c r="G47" s="9" t="s">
        <v>45</v>
      </c>
      <c r="H47" s="5" t="s">
        <v>35</v>
      </c>
      <c r="I47" s="5"/>
    </row>
    <row r="48" customFormat="false" ht="15" hidden="false" customHeight="false" outlineLevel="0" collapsed="false">
      <c r="A48" s="5" t="n">
        <v>47</v>
      </c>
      <c r="B48" s="13" t="s">
        <v>190</v>
      </c>
      <c r="C48" s="7" t="s">
        <v>194</v>
      </c>
      <c r="D48" s="8" t="s">
        <v>195</v>
      </c>
      <c r="E48" s="8" t="s">
        <v>33</v>
      </c>
      <c r="F48" s="5" t="s">
        <v>196</v>
      </c>
      <c r="G48" s="5" t="s">
        <v>34</v>
      </c>
      <c r="H48" s="5" t="s">
        <v>35</v>
      </c>
      <c r="I48" s="5"/>
    </row>
    <row r="49" customFormat="false" ht="22.35" hidden="false" customHeight="false" outlineLevel="0" collapsed="false">
      <c r="A49" s="5" t="n">
        <v>48</v>
      </c>
      <c r="B49" s="13" t="s">
        <v>190</v>
      </c>
      <c r="C49" s="7" t="s">
        <v>197</v>
      </c>
      <c r="D49" s="8" t="s">
        <v>198</v>
      </c>
      <c r="E49" s="8" t="s">
        <v>199</v>
      </c>
      <c r="F49" s="5" t="s">
        <v>196</v>
      </c>
      <c r="G49" s="9" t="s">
        <v>45</v>
      </c>
      <c r="H49" s="5" t="s">
        <v>35</v>
      </c>
      <c r="I49" s="5"/>
    </row>
    <row r="50" customFormat="false" ht="22.35" hidden="false" customHeight="false" outlineLevel="0" collapsed="false">
      <c r="A50" s="5" t="n">
        <v>49</v>
      </c>
      <c r="B50" s="13" t="s">
        <v>190</v>
      </c>
      <c r="C50" s="7" t="s">
        <v>200</v>
      </c>
      <c r="D50" s="8" t="s">
        <v>201</v>
      </c>
      <c r="E50" s="8" t="s">
        <v>202</v>
      </c>
      <c r="F50" s="5" t="s">
        <v>33</v>
      </c>
      <c r="G50" s="9" t="s">
        <v>45</v>
      </c>
      <c r="H50" s="5" t="s">
        <v>35</v>
      </c>
      <c r="I50" s="5"/>
    </row>
    <row r="51" customFormat="false" ht="22.35" hidden="false" customHeight="false" outlineLevel="0" collapsed="false">
      <c r="A51" s="5" t="n">
        <v>50</v>
      </c>
      <c r="B51" s="13" t="s">
        <v>190</v>
      </c>
      <c r="C51" s="7" t="s">
        <v>203</v>
      </c>
      <c r="D51" s="8" t="s">
        <v>204</v>
      </c>
      <c r="E51" s="8" t="s">
        <v>205</v>
      </c>
      <c r="F51" s="5" t="s">
        <v>206</v>
      </c>
      <c r="G51" s="9" t="s">
        <v>45</v>
      </c>
      <c r="H51" s="5" t="s">
        <v>35</v>
      </c>
      <c r="I51" s="5"/>
    </row>
    <row r="52" customFormat="false" ht="22.35" hidden="false" customHeight="false" outlineLevel="0" collapsed="false">
      <c r="A52" s="5" t="n">
        <v>51</v>
      </c>
      <c r="B52" s="13" t="s">
        <v>190</v>
      </c>
      <c r="C52" s="7" t="s">
        <v>207</v>
      </c>
      <c r="D52" s="8" t="s">
        <v>208</v>
      </c>
      <c r="E52" s="8" t="s">
        <v>209</v>
      </c>
      <c r="F52" s="5" t="s">
        <v>210</v>
      </c>
      <c r="G52" s="9" t="s">
        <v>45</v>
      </c>
      <c r="H52" s="5" t="s">
        <v>35</v>
      </c>
      <c r="I52" s="5"/>
    </row>
    <row r="53" customFormat="false" ht="15" hidden="false" customHeight="false" outlineLevel="0" collapsed="false">
      <c r="A53" s="5" t="n">
        <v>52</v>
      </c>
      <c r="B53" s="13" t="s">
        <v>190</v>
      </c>
      <c r="C53" s="7" t="s">
        <v>211</v>
      </c>
      <c r="D53" s="8" t="s">
        <v>212</v>
      </c>
      <c r="E53" s="8" t="s">
        <v>213</v>
      </c>
      <c r="F53" s="5" t="s">
        <v>210</v>
      </c>
      <c r="G53" s="9" t="s">
        <v>45</v>
      </c>
      <c r="H53" s="5" t="s">
        <v>35</v>
      </c>
      <c r="I53" s="5"/>
    </row>
    <row r="54" customFormat="false" ht="15" hidden="false" customHeight="false" outlineLevel="0" collapsed="false">
      <c r="A54" s="5" t="n">
        <v>53</v>
      </c>
      <c r="B54" s="13" t="s">
        <v>190</v>
      </c>
      <c r="C54" s="7" t="s">
        <v>214</v>
      </c>
      <c r="D54" s="8" t="s">
        <v>215</v>
      </c>
      <c r="E54" s="8" t="s">
        <v>216</v>
      </c>
      <c r="F54" s="5" t="s">
        <v>75</v>
      </c>
      <c r="G54" s="5" t="s">
        <v>34</v>
      </c>
      <c r="H54" s="5" t="s">
        <v>35</v>
      </c>
      <c r="I54" s="5"/>
    </row>
    <row r="55" customFormat="false" ht="22.35" hidden="false" customHeight="false" outlineLevel="0" collapsed="false">
      <c r="A55" s="5" t="n">
        <v>54</v>
      </c>
      <c r="B55" s="14" t="s">
        <v>217</v>
      </c>
      <c r="C55" s="7" t="s">
        <v>218</v>
      </c>
      <c r="D55" s="8" t="s">
        <v>219</v>
      </c>
      <c r="E55" s="8" t="s">
        <v>220</v>
      </c>
      <c r="F55" s="5" t="s">
        <v>221</v>
      </c>
      <c r="G55" s="5" t="s">
        <v>34</v>
      </c>
      <c r="H55" s="5" t="s">
        <v>35</v>
      </c>
      <c r="I55" s="5"/>
    </row>
    <row r="56" customFormat="false" ht="15" hidden="false" customHeight="false" outlineLevel="0" collapsed="false">
      <c r="A56" s="5" t="n">
        <v>55</v>
      </c>
      <c r="B56" s="14" t="s">
        <v>217</v>
      </c>
      <c r="C56" s="7" t="s">
        <v>222</v>
      </c>
      <c r="D56" s="8" t="s">
        <v>223</v>
      </c>
      <c r="E56" s="8" t="s">
        <v>224</v>
      </c>
      <c r="F56" s="5" t="s">
        <v>225</v>
      </c>
      <c r="G56" s="5" t="s">
        <v>34</v>
      </c>
      <c r="H56" s="5" t="s">
        <v>35</v>
      </c>
      <c r="I56" s="5"/>
    </row>
    <row r="57" customFormat="false" ht="22.35" hidden="false" customHeight="false" outlineLevel="0" collapsed="false">
      <c r="A57" s="5" t="n">
        <v>56</v>
      </c>
      <c r="B57" s="14" t="s">
        <v>217</v>
      </c>
      <c r="C57" s="7" t="s">
        <v>226</v>
      </c>
      <c r="D57" s="8" t="s">
        <v>227</v>
      </c>
      <c r="E57" s="8" t="s">
        <v>228</v>
      </c>
      <c r="F57" s="5" t="s">
        <v>183</v>
      </c>
      <c r="G57" s="5" t="s">
        <v>34</v>
      </c>
      <c r="H57" s="5" t="s">
        <v>35</v>
      </c>
      <c r="I57" s="5"/>
    </row>
    <row r="58" customFormat="false" ht="22.35" hidden="false" customHeight="false" outlineLevel="0" collapsed="false">
      <c r="A58" s="5" t="n">
        <v>57</v>
      </c>
      <c r="B58" s="14" t="s">
        <v>217</v>
      </c>
      <c r="C58" s="7" t="s">
        <v>229</v>
      </c>
      <c r="D58" s="8" t="s">
        <v>230</v>
      </c>
      <c r="E58" s="8" t="s">
        <v>231</v>
      </c>
      <c r="F58" s="5" t="s">
        <v>232</v>
      </c>
      <c r="G58" s="9" t="s">
        <v>45</v>
      </c>
      <c r="H58" s="5" t="s">
        <v>35</v>
      </c>
      <c r="I58" s="5"/>
    </row>
    <row r="59" customFormat="false" ht="15" hidden="false" customHeight="false" outlineLevel="0" collapsed="false">
      <c r="A59" s="5" t="n">
        <v>58</v>
      </c>
      <c r="B59" s="14" t="s">
        <v>217</v>
      </c>
      <c r="C59" s="7" t="s">
        <v>233</v>
      </c>
      <c r="D59" s="8" t="s">
        <v>234</v>
      </c>
      <c r="E59" s="8" t="s">
        <v>235</v>
      </c>
      <c r="F59" s="5" t="s">
        <v>183</v>
      </c>
      <c r="G59" s="5" t="s">
        <v>34</v>
      </c>
      <c r="H59" s="5" t="s">
        <v>35</v>
      </c>
      <c r="I59" s="5"/>
    </row>
    <row r="60" customFormat="false" ht="32.8" hidden="false" customHeight="false" outlineLevel="0" collapsed="false">
      <c r="A60" s="5" t="n">
        <v>59</v>
      </c>
      <c r="B60" s="14" t="s">
        <v>217</v>
      </c>
      <c r="C60" s="7" t="s">
        <v>236</v>
      </c>
      <c r="D60" s="8" t="s">
        <v>237</v>
      </c>
      <c r="E60" s="8" t="s">
        <v>238</v>
      </c>
      <c r="F60" s="5" t="s">
        <v>83</v>
      </c>
      <c r="G60" s="9" t="s">
        <v>45</v>
      </c>
      <c r="H60" s="5" t="s">
        <v>35</v>
      </c>
      <c r="I60" s="5"/>
    </row>
    <row r="61" customFormat="false" ht="22.35" hidden="false" customHeight="false" outlineLevel="0" collapsed="false">
      <c r="A61" s="5" t="n">
        <v>60</v>
      </c>
      <c r="B61" s="14" t="s">
        <v>217</v>
      </c>
      <c r="C61" s="7" t="s">
        <v>239</v>
      </c>
      <c r="D61" s="8" t="s">
        <v>185</v>
      </c>
      <c r="E61" s="8" t="s">
        <v>240</v>
      </c>
      <c r="F61" s="5" t="s">
        <v>241</v>
      </c>
      <c r="G61" s="5" t="s">
        <v>34</v>
      </c>
      <c r="H61" s="5" t="s">
        <v>35</v>
      </c>
      <c r="I61" s="5"/>
    </row>
    <row r="62" customFormat="false" ht="15" hidden="false" customHeight="false" outlineLevel="0" collapsed="false">
      <c r="A62" s="5" t="n">
        <v>61</v>
      </c>
      <c r="B62" s="14" t="s">
        <v>217</v>
      </c>
      <c r="C62" s="7" t="s">
        <v>242</v>
      </c>
      <c r="D62" s="8" t="s">
        <v>33</v>
      </c>
      <c r="E62" s="8" t="s">
        <v>243</v>
      </c>
      <c r="F62" s="5" t="s">
        <v>33</v>
      </c>
      <c r="G62" s="9" t="s">
        <v>45</v>
      </c>
      <c r="H62" s="5" t="s">
        <v>35</v>
      </c>
      <c r="I62" s="5"/>
    </row>
    <row r="63" customFormat="false" ht="22.35" hidden="false" customHeight="false" outlineLevel="0" collapsed="false">
      <c r="A63" s="5" t="n">
        <v>62</v>
      </c>
      <c r="B63" s="15" t="s">
        <v>244</v>
      </c>
      <c r="C63" s="7" t="s">
        <v>245</v>
      </c>
      <c r="D63" s="8" t="s">
        <v>246</v>
      </c>
      <c r="E63" s="8" t="s">
        <v>247</v>
      </c>
      <c r="F63" s="5" t="s">
        <v>248</v>
      </c>
      <c r="G63" s="9" t="s">
        <v>45</v>
      </c>
      <c r="H63" s="5" t="s">
        <v>35</v>
      </c>
      <c r="I63" s="5"/>
    </row>
    <row r="64" customFormat="false" ht="15" hidden="false" customHeight="false" outlineLevel="0" collapsed="false">
      <c r="A64" s="5" t="n">
        <v>63</v>
      </c>
      <c r="B64" s="15" t="s">
        <v>244</v>
      </c>
      <c r="C64" s="7" t="s">
        <v>249</v>
      </c>
      <c r="D64" s="8" t="s">
        <v>250</v>
      </c>
      <c r="E64" s="8" t="s">
        <v>251</v>
      </c>
      <c r="F64" s="5" t="s">
        <v>252</v>
      </c>
      <c r="G64" s="9" t="s">
        <v>45</v>
      </c>
      <c r="H64" s="5" t="s">
        <v>35</v>
      </c>
      <c r="I64" s="5"/>
    </row>
    <row r="65" customFormat="false" ht="15" hidden="false" customHeight="false" outlineLevel="0" collapsed="false">
      <c r="A65" s="5" t="n">
        <v>64</v>
      </c>
      <c r="B65" s="15" t="s">
        <v>244</v>
      </c>
      <c r="C65" s="7" t="s">
        <v>253</v>
      </c>
      <c r="D65" s="8" t="s">
        <v>254</v>
      </c>
      <c r="E65" s="8" t="s">
        <v>255</v>
      </c>
      <c r="F65" s="5" t="s">
        <v>248</v>
      </c>
      <c r="G65" s="5" t="s">
        <v>34</v>
      </c>
      <c r="H65" s="5" t="s">
        <v>35</v>
      </c>
      <c r="I65" s="5"/>
    </row>
    <row r="66" customFormat="false" ht="15" hidden="false" customHeight="false" outlineLevel="0" collapsed="false">
      <c r="A66" s="5" t="n">
        <v>65</v>
      </c>
      <c r="B66" s="15" t="s">
        <v>244</v>
      </c>
      <c r="C66" s="7" t="s">
        <v>256</v>
      </c>
      <c r="D66" s="8" t="s">
        <v>257</v>
      </c>
      <c r="E66" s="8" t="s">
        <v>258</v>
      </c>
      <c r="F66" s="5" t="s">
        <v>259</v>
      </c>
      <c r="G66" s="9" t="s">
        <v>45</v>
      </c>
      <c r="H66" s="5" t="s">
        <v>35</v>
      </c>
      <c r="I66" s="5"/>
    </row>
    <row r="67" customFormat="false" ht="22.35" hidden="false" customHeight="false" outlineLevel="0" collapsed="false">
      <c r="A67" s="5" t="n">
        <v>66</v>
      </c>
      <c r="B67" s="15" t="s">
        <v>244</v>
      </c>
      <c r="C67" s="7" t="s">
        <v>260</v>
      </c>
      <c r="D67" s="8" t="s">
        <v>261</v>
      </c>
      <c r="E67" s="8" t="s">
        <v>262</v>
      </c>
      <c r="F67" s="5" t="s">
        <v>248</v>
      </c>
      <c r="G67" s="9" t="s">
        <v>45</v>
      </c>
      <c r="H67" s="5" t="s">
        <v>35</v>
      </c>
      <c r="I67" s="5"/>
    </row>
    <row r="68" customFormat="false" ht="22.35" hidden="false" customHeight="false" outlineLevel="0" collapsed="false">
      <c r="A68" s="5" t="n">
        <v>67</v>
      </c>
      <c r="B68" s="15" t="s">
        <v>244</v>
      </c>
      <c r="C68" s="7" t="s">
        <v>263</v>
      </c>
      <c r="D68" s="8" t="s">
        <v>264</v>
      </c>
      <c r="E68" s="8" t="s">
        <v>265</v>
      </c>
      <c r="F68" s="5" t="s">
        <v>248</v>
      </c>
      <c r="G68" s="9" t="s">
        <v>45</v>
      </c>
      <c r="H68" s="5" t="s">
        <v>35</v>
      </c>
      <c r="I68" s="5"/>
    </row>
    <row r="69" customFormat="false" ht="22.35" hidden="false" customHeight="false" outlineLevel="0" collapsed="false">
      <c r="A69" s="5" t="n">
        <v>68</v>
      </c>
      <c r="B69" s="12" t="s">
        <v>266</v>
      </c>
      <c r="C69" s="7" t="s">
        <v>267</v>
      </c>
      <c r="D69" s="8" t="s">
        <v>268</v>
      </c>
      <c r="E69" s="8" t="s">
        <v>269</v>
      </c>
      <c r="F69" s="5" t="s">
        <v>270</v>
      </c>
      <c r="G69" s="9" t="s">
        <v>45</v>
      </c>
      <c r="H69" s="5" t="s">
        <v>35</v>
      </c>
      <c r="I69" s="5"/>
    </row>
    <row r="70" customFormat="false" ht="23.85" hidden="false" customHeight="false" outlineLevel="0" collapsed="false">
      <c r="A70" s="5" t="n">
        <v>69</v>
      </c>
      <c r="B70" s="12" t="s">
        <v>266</v>
      </c>
      <c r="C70" s="7" t="s">
        <v>271</v>
      </c>
      <c r="D70" s="8" t="s">
        <v>272</v>
      </c>
      <c r="E70" s="8" t="s">
        <v>273</v>
      </c>
      <c r="F70" s="5" t="s">
        <v>274</v>
      </c>
      <c r="G70" s="5" t="s">
        <v>34</v>
      </c>
      <c r="H70" s="5" t="s">
        <v>35</v>
      </c>
      <c r="I70" s="5"/>
    </row>
    <row r="71" customFormat="false" ht="15" hidden="false" customHeight="false" outlineLevel="0" collapsed="false">
      <c r="A71" s="5" t="n">
        <v>70</v>
      </c>
      <c r="B71" s="12" t="s">
        <v>266</v>
      </c>
      <c r="C71" s="7" t="s">
        <v>275</v>
      </c>
      <c r="D71" s="8" t="s">
        <v>276</v>
      </c>
      <c r="E71" s="8" t="s">
        <v>277</v>
      </c>
      <c r="F71" s="5" t="s">
        <v>278</v>
      </c>
      <c r="G71" s="9" t="s">
        <v>45</v>
      </c>
      <c r="H71" s="5" t="s">
        <v>35</v>
      </c>
      <c r="I71" s="5"/>
    </row>
    <row r="72" customFormat="false" ht="15" hidden="false" customHeight="false" outlineLevel="0" collapsed="false">
      <c r="A72" s="5" t="n">
        <v>71</v>
      </c>
      <c r="B72" s="12" t="s">
        <v>266</v>
      </c>
      <c r="C72" s="7" t="s">
        <v>279</v>
      </c>
      <c r="D72" s="8" t="s">
        <v>280</v>
      </c>
      <c r="E72" s="8" t="s">
        <v>281</v>
      </c>
      <c r="F72" s="5" t="s">
        <v>282</v>
      </c>
      <c r="G72" s="9" t="s">
        <v>45</v>
      </c>
      <c r="H72" s="5" t="s">
        <v>35</v>
      </c>
      <c r="I72" s="5"/>
    </row>
    <row r="73" customFormat="false" ht="15" hidden="false" customHeight="false" outlineLevel="0" collapsed="false">
      <c r="A73" s="5" t="n">
        <v>72</v>
      </c>
      <c r="B73" s="12" t="s">
        <v>266</v>
      </c>
      <c r="C73" s="7" t="s">
        <v>283</v>
      </c>
      <c r="D73" s="8" t="s">
        <v>284</v>
      </c>
      <c r="E73" s="8" t="s">
        <v>285</v>
      </c>
      <c r="F73" s="5" t="s">
        <v>274</v>
      </c>
      <c r="G73" s="9" t="s">
        <v>45</v>
      </c>
      <c r="H73" s="5" t="s">
        <v>35</v>
      </c>
      <c r="I73" s="5"/>
    </row>
    <row r="74" customFormat="false" ht="15" hidden="false" customHeight="false" outlineLevel="0" collapsed="false">
      <c r="A74" s="5" t="n">
        <v>73</v>
      </c>
      <c r="B74" s="12" t="s">
        <v>266</v>
      </c>
      <c r="C74" s="7" t="s">
        <v>286</v>
      </c>
      <c r="D74" s="8" t="s">
        <v>287</v>
      </c>
      <c r="E74" s="8" t="s">
        <v>288</v>
      </c>
      <c r="F74" s="5" t="s">
        <v>289</v>
      </c>
      <c r="G74" s="9" t="s">
        <v>45</v>
      </c>
      <c r="H74" s="5" t="s">
        <v>35</v>
      </c>
      <c r="I74" s="5"/>
    </row>
    <row r="75" customFormat="false" ht="15" hidden="false" customHeight="false" outlineLevel="0" collapsed="false">
      <c r="A75" s="5" t="n">
        <v>74</v>
      </c>
      <c r="B75" s="12" t="s">
        <v>266</v>
      </c>
      <c r="C75" s="7" t="s">
        <v>290</v>
      </c>
      <c r="D75" s="8" t="s">
        <v>291</v>
      </c>
      <c r="E75" s="8" t="s">
        <v>292</v>
      </c>
      <c r="F75" s="5" t="s">
        <v>282</v>
      </c>
      <c r="G75" s="9" t="s">
        <v>45</v>
      </c>
      <c r="H75" s="5" t="s">
        <v>35</v>
      </c>
      <c r="I75" s="5"/>
    </row>
    <row r="76" customFormat="false" ht="22.35" hidden="false" customHeight="false" outlineLevel="0" collapsed="false">
      <c r="A76" s="5" t="n">
        <v>75</v>
      </c>
      <c r="B76" s="12" t="s">
        <v>266</v>
      </c>
      <c r="C76" s="7" t="s">
        <v>293</v>
      </c>
      <c r="D76" s="8" t="s">
        <v>294</v>
      </c>
      <c r="E76" s="8" t="s">
        <v>295</v>
      </c>
      <c r="F76" s="5" t="s">
        <v>274</v>
      </c>
      <c r="G76" s="9" t="s">
        <v>45</v>
      </c>
      <c r="H76" s="5" t="s">
        <v>35</v>
      </c>
      <c r="I76" s="5"/>
    </row>
    <row r="77" customFormat="false" ht="22.35" hidden="false" customHeight="false" outlineLevel="0" collapsed="false">
      <c r="A77" s="5" t="n">
        <v>76</v>
      </c>
      <c r="B77" s="11" t="s">
        <v>296</v>
      </c>
      <c r="C77" s="7" t="s">
        <v>297</v>
      </c>
      <c r="D77" s="8" t="s">
        <v>298</v>
      </c>
      <c r="E77" s="8" t="s">
        <v>299</v>
      </c>
      <c r="F77" s="5" t="s">
        <v>248</v>
      </c>
      <c r="G77" s="9" t="s">
        <v>45</v>
      </c>
      <c r="H77" s="5" t="s">
        <v>35</v>
      </c>
      <c r="I77" s="5"/>
    </row>
    <row r="78" customFormat="false" ht="23.85" hidden="false" customHeight="false" outlineLevel="0" collapsed="false">
      <c r="A78" s="5" t="n">
        <v>77</v>
      </c>
      <c r="B78" s="11" t="s">
        <v>296</v>
      </c>
      <c r="C78" s="7" t="s">
        <v>300</v>
      </c>
      <c r="D78" s="8" t="s">
        <v>33</v>
      </c>
      <c r="E78" s="8" t="s">
        <v>301</v>
      </c>
      <c r="F78" s="5" t="s">
        <v>302</v>
      </c>
      <c r="G78" s="9" t="s">
        <v>45</v>
      </c>
      <c r="H78" s="5" t="s">
        <v>35</v>
      </c>
      <c r="I78" s="5"/>
    </row>
    <row r="79" customFormat="false" ht="15" hidden="false" customHeight="false" outlineLevel="0" collapsed="false">
      <c r="A79" s="5" t="n">
        <v>78</v>
      </c>
      <c r="B79" s="11" t="s">
        <v>296</v>
      </c>
      <c r="C79" s="7" t="s">
        <v>303</v>
      </c>
      <c r="D79" s="8" t="s">
        <v>33</v>
      </c>
      <c r="E79" s="8" t="s">
        <v>304</v>
      </c>
      <c r="F79" s="5" t="s">
        <v>33</v>
      </c>
      <c r="G79" s="5" t="s">
        <v>34</v>
      </c>
      <c r="H79" s="5" t="s">
        <v>35</v>
      </c>
      <c r="I79" s="5"/>
    </row>
    <row r="80" customFormat="false" ht="15" hidden="false" customHeight="false" outlineLevel="0" collapsed="false">
      <c r="A80" s="5" t="n">
        <v>79</v>
      </c>
      <c r="B80" s="11" t="s">
        <v>296</v>
      </c>
      <c r="C80" s="7" t="s">
        <v>305</v>
      </c>
      <c r="D80" s="8" t="s">
        <v>33</v>
      </c>
      <c r="E80" s="8" t="s">
        <v>306</v>
      </c>
      <c r="F80" s="5" t="s">
        <v>307</v>
      </c>
      <c r="G80" s="5" t="s">
        <v>34</v>
      </c>
      <c r="H80" s="5" t="s">
        <v>35</v>
      </c>
      <c r="I80" s="5"/>
    </row>
    <row r="81" customFormat="false" ht="15" hidden="false" customHeight="false" outlineLevel="0" collapsed="false">
      <c r="A81" s="5" t="n">
        <v>80</v>
      </c>
      <c r="B81" s="11" t="s">
        <v>296</v>
      </c>
      <c r="C81" s="7" t="s">
        <v>308</v>
      </c>
      <c r="D81" s="8" t="s">
        <v>309</v>
      </c>
      <c r="E81" s="8" t="s">
        <v>310</v>
      </c>
      <c r="F81" s="5" t="s">
        <v>311</v>
      </c>
      <c r="G81" s="9" t="s">
        <v>45</v>
      </c>
      <c r="H81" s="5" t="s">
        <v>35</v>
      </c>
      <c r="I81" s="5"/>
    </row>
  </sheetData>
  <autoFilter ref="A1:I81"/>
  <dataValidations count="1">
    <dataValidation allowBlank="true" errorStyle="stop" operator="between" showDropDown="false" showErrorMessage="false" showInputMessage="false" sqref="H2:H81" type="list">
      <formula1>"Not started,In progress,Blocked,Done,Out of scope"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4" t="s">
        <v>21</v>
      </c>
      <c r="B1" s="4" t="s">
        <v>312</v>
      </c>
      <c r="C1" s="4" t="s">
        <v>313</v>
      </c>
      <c r="D1" s="4" t="s">
        <v>314</v>
      </c>
      <c r="E1" s="4" t="s">
        <v>315</v>
      </c>
      <c r="F1" s="4" t="s">
        <v>35</v>
      </c>
      <c r="G1" s="4" t="s">
        <v>26</v>
      </c>
      <c r="H1" s="4" t="s">
        <v>316</v>
      </c>
    </row>
    <row r="2" customFormat="false" ht="15" hidden="false" customHeight="false" outlineLevel="0" collapsed="false">
      <c r="A2" s="16" t="s">
        <v>29</v>
      </c>
      <c r="B2" s="17" t="n">
        <f aca="false">COUNTIF(Steps!$B$2:$B$81,$A2)</f>
        <v>9</v>
      </c>
      <c r="C2" s="17" t="n">
        <f aca="false">COUNTIFS(Steps!$B$2:$B$81,$A2,Steps!$H$2:$H$81,"Done")</f>
        <v>0</v>
      </c>
      <c r="D2" s="17" t="n">
        <f aca="false">COUNTIFS(Steps!$B$2:$B$81,$A2,Steps!$H$2:$H$81,"In progress")</f>
        <v>0</v>
      </c>
      <c r="E2" s="17" t="n">
        <f aca="false">COUNTIFS(Steps!$B$2:$B$81,$A2,Steps!$H$2:$H$81,"Blocked")</f>
        <v>0</v>
      </c>
      <c r="F2" s="17" t="n">
        <f aca="false">COUNTIFS(Steps!$B$2:$B$81,$A2,Steps!$H$2:$H$81,"Not started")</f>
        <v>9</v>
      </c>
      <c r="G2" s="17" t="n">
        <f aca="false">COUNTIFS(Steps!$B$2:$B$81,$A2,Steps!$G$2:$G$81,"Y")</f>
        <v>6</v>
      </c>
      <c r="H2" s="18" t="n">
        <f aca="false">IFERROR($C2/$B2,0)</f>
        <v>0</v>
      </c>
    </row>
    <row r="3" customFormat="false" ht="15" hidden="false" customHeight="false" outlineLevel="0" collapsed="false">
      <c r="A3" s="19" t="s">
        <v>61</v>
      </c>
      <c r="B3" s="17" t="n">
        <f aca="false">COUNTIF(Steps!$B$2:$B$81,$A3)</f>
        <v>17</v>
      </c>
      <c r="C3" s="17" t="n">
        <f aca="false">COUNTIFS(Steps!$B$2:$B$81,$A3,Steps!$H$2:$H$81,"Done")</f>
        <v>0</v>
      </c>
      <c r="D3" s="17" t="n">
        <f aca="false">COUNTIFS(Steps!$B$2:$B$81,$A3,Steps!$H$2:$H$81,"In progress")</f>
        <v>0</v>
      </c>
      <c r="E3" s="17" t="n">
        <f aca="false">COUNTIFS(Steps!$B$2:$B$81,$A3,Steps!$H$2:$H$81,"Blocked")</f>
        <v>0</v>
      </c>
      <c r="F3" s="17" t="n">
        <f aca="false">COUNTIFS(Steps!$B$2:$B$81,$A3,Steps!$H$2:$H$81,"Not started")</f>
        <v>17</v>
      </c>
      <c r="G3" s="17" t="n">
        <f aca="false">COUNTIFS(Steps!$B$2:$B$81,$A3,Steps!$G$2:$G$81,"Y")</f>
        <v>7</v>
      </c>
      <c r="H3" s="18" t="n">
        <f aca="false">IFERROR($C3/$B3,0)</f>
        <v>0</v>
      </c>
    </row>
    <row r="4" customFormat="false" ht="15" hidden="false" customHeight="false" outlineLevel="0" collapsed="false">
      <c r="A4" s="20" t="s">
        <v>121</v>
      </c>
      <c r="B4" s="17" t="n">
        <f aca="false">COUNTIF(Steps!$B$2:$B$81,$A4)</f>
        <v>9</v>
      </c>
      <c r="C4" s="17" t="n">
        <f aca="false">COUNTIFS(Steps!$B$2:$B$81,$A4,Steps!$H$2:$H$81,"Done")</f>
        <v>0</v>
      </c>
      <c r="D4" s="17" t="n">
        <f aca="false">COUNTIFS(Steps!$B$2:$B$81,$A4,Steps!$H$2:$H$81,"In progress")</f>
        <v>0</v>
      </c>
      <c r="E4" s="17" t="n">
        <f aca="false">COUNTIFS(Steps!$B$2:$B$81,$A4,Steps!$H$2:$H$81,"Blocked")</f>
        <v>0</v>
      </c>
      <c r="F4" s="17" t="n">
        <f aca="false">COUNTIFS(Steps!$B$2:$B$81,$A4,Steps!$H$2:$H$81,"Not started")</f>
        <v>9</v>
      </c>
      <c r="G4" s="17" t="n">
        <f aca="false">COUNTIFS(Steps!$B$2:$B$81,$A4,Steps!$G$2:$G$81,"Y")</f>
        <v>4</v>
      </c>
      <c r="H4" s="18" t="n">
        <f aca="false">IFERROR($C4/$B4,0)</f>
        <v>0</v>
      </c>
    </row>
    <row r="5" customFormat="false" ht="15" hidden="false" customHeight="false" outlineLevel="0" collapsed="false">
      <c r="A5" s="21" t="s">
        <v>154</v>
      </c>
      <c r="B5" s="17" t="n">
        <f aca="false">COUNTIF(Steps!$B$2:$B$81,$A5)</f>
        <v>10</v>
      </c>
      <c r="C5" s="17" t="n">
        <f aca="false">COUNTIFS(Steps!$B$2:$B$81,$A5,Steps!$H$2:$H$81,"Done")</f>
        <v>0</v>
      </c>
      <c r="D5" s="17" t="n">
        <f aca="false">COUNTIFS(Steps!$B$2:$B$81,$A5,Steps!$H$2:$H$81,"In progress")</f>
        <v>0</v>
      </c>
      <c r="E5" s="17" t="n">
        <f aca="false">COUNTIFS(Steps!$B$2:$B$81,$A5,Steps!$H$2:$H$81,"Blocked")</f>
        <v>0</v>
      </c>
      <c r="F5" s="17" t="n">
        <f aca="false">COUNTIFS(Steps!$B$2:$B$81,$A5,Steps!$H$2:$H$81,"Not started")</f>
        <v>10</v>
      </c>
      <c r="G5" s="17" t="n">
        <f aca="false">COUNTIFS(Steps!$B$2:$B$81,$A5,Steps!$G$2:$G$81,"Y")</f>
        <v>8</v>
      </c>
      <c r="H5" s="18" t="n">
        <f aca="false">IFERROR($C5/$B5,0)</f>
        <v>0</v>
      </c>
    </row>
    <row r="6" customFormat="false" ht="15" hidden="false" customHeight="false" outlineLevel="0" collapsed="false">
      <c r="A6" s="22" t="s">
        <v>190</v>
      </c>
      <c r="B6" s="17" t="n">
        <f aca="false">COUNTIF(Steps!$B$2:$B$81,$A6)</f>
        <v>8</v>
      </c>
      <c r="C6" s="17" t="n">
        <f aca="false">COUNTIFS(Steps!$B$2:$B$81,$A6,Steps!$H$2:$H$81,"Done")</f>
        <v>0</v>
      </c>
      <c r="D6" s="17" t="n">
        <f aca="false">COUNTIFS(Steps!$B$2:$B$81,$A6,Steps!$H$2:$H$81,"In progress")</f>
        <v>0</v>
      </c>
      <c r="E6" s="17" t="n">
        <f aca="false">COUNTIFS(Steps!$B$2:$B$81,$A6,Steps!$H$2:$H$81,"Blocked")</f>
        <v>0</v>
      </c>
      <c r="F6" s="17" t="n">
        <f aca="false">COUNTIFS(Steps!$B$2:$B$81,$A6,Steps!$H$2:$H$81,"Not started")</f>
        <v>8</v>
      </c>
      <c r="G6" s="17" t="n">
        <f aca="false">COUNTIFS(Steps!$B$2:$B$81,$A6,Steps!$G$2:$G$81,"Y")</f>
        <v>6</v>
      </c>
      <c r="H6" s="18" t="n">
        <f aca="false">IFERROR($C6/$B6,0)</f>
        <v>0</v>
      </c>
    </row>
    <row r="7" customFormat="false" ht="15" hidden="false" customHeight="false" outlineLevel="0" collapsed="false">
      <c r="A7" s="23" t="s">
        <v>217</v>
      </c>
      <c r="B7" s="17" t="n">
        <f aca="false">COUNTIF(Steps!$B$2:$B$81,$A7)</f>
        <v>8</v>
      </c>
      <c r="C7" s="17" t="n">
        <f aca="false">COUNTIFS(Steps!$B$2:$B$81,$A7,Steps!$H$2:$H$81,"Done")</f>
        <v>0</v>
      </c>
      <c r="D7" s="17" t="n">
        <f aca="false">COUNTIFS(Steps!$B$2:$B$81,$A7,Steps!$H$2:$H$81,"In progress")</f>
        <v>0</v>
      </c>
      <c r="E7" s="17" t="n">
        <f aca="false">COUNTIFS(Steps!$B$2:$B$81,$A7,Steps!$H$2:$H$81,"Blocked")</f>
        <v>0</v>
      </c>
      <c r="F7" s="17" t="n">
        <f aca="false">COUNTIFS(Steps!$B$2:$B$81,$A7,Steps!$H$2:$H$81,"Not started")</f>
        <v>8</v>
      </c>
      <c r="G7" s="17" t="n">
        <f aca="false">COUNTIFS(Steps!$B$2:$B$81,$A7,Steps!$G$2:$G$81,"Y")</f>
        <v>3</v>
      </c>
      <c r="H7" s="18" t="n">
        <f aca="false">IFERROR($C7/$B7,0)</f>
        <v>0</v>
      </c>
    </row>
    <row r="8" customFormat="false" ht="15" hidden="false" customHeight="false" outlineLevel="0" collapsed="false">
      <c r="A8" s="24" t="s">
        <v>244</v>
      </c>
      <c r="B8" s="17" t="n">
        <f aca="false">COUNTIF(Steps!$B$2:$B$81,$A8)</f>
        <v>6</v>
      </c>
      <c r="C8" s="17" t="n">
        <f aca="false">COUNTIFS(Steps!$B$2:$B$81,$A8,Steps!$H$2:$H$81,"Done")</f>
        <v>0</v>
      </c>
      <c r="D8" s="17" t="n">
        <f aca="false">COUNTIFS(Steps!$B$2:$B$81,$A8,Steps!$H$2:$H$81,"In progress")</f>
        <v>0</v>
      </c>
      <c r="E8" s="17" t="n">
        <f aca="false">COUNTIFS(Steps!$B$2:$B$81,$A8,Steps!$H$2:$H$81,"Blocked")</f>
        <v>0</v>
      </c>
      <c r="F8" s="17" t="n">
        <f aca="false">COUNTIFS(Steps!$B$2:$B$81,$A8,Steps!$H$2:$H$81,"Not started")</f>
        <v>6</v>
      </c>
      <c r="G8" s="17" t="n">
        <f aca="false">COUNTIFS(Steps!$B$2:$B$81,$A8,Steps!$G$2:$G$81,"Y")</f>
        <v>5</v>
      </c>
      <c r="H8" s="18" t="n">
        <f aca="false">IFERROR($C8/$B8,0)</f>
        <v>0</v>
      </c>
    </row>
    <row r="9" customFormat="false" ht="15" hidden="false" customHeight="false" outlineLevel="0" collapsed="false">
      <c r="A9" s="21" t="s">
        <v>266</v>
      </c>
      <c r="B9" s="17" t="n">
        <f aca="false">COUNTIF(Steps!$B$2:$B$81,$A9)</f>
        <v>8</v>
      </c>
      <c r="C9" s="17" t="n">
        <f aca="false">COUNTIFS(Steps!$B$2:$B$81,$A9,Steps!$H$2:$H$81,"Done")</f>
        <v>0</v>
      </c>
      <c r="D9" s="17" t="n">
        <f aca="false">COUNTIFS(Steps!$B$2:$B$81,$A9,Steps!$H$2:$H$81,"In progress")</f>
        <v>0</v>
      </c>
      <c r="E9" s="17" t="n">
        <f aca="false">COUNTIFS(Steps!$B$2:$B$81,$A9,Steps!$H$2:$H$81,"Blocked")</f>
        <v>0</v>
      </c>
      <c r="F9" s="17" t="n">
        <f aca="false">COUNTIFS(Steps!$B$2:$B$81,$A9,Steps!$H$2:$H$81,"Not started")</f>
        <v>8</v>
      </c>
      <c r="G9" s="17" t="n">
        <f aca="false">COUNTIFS(Steps!$B$2:$B$81,$A9,Steps!$G$2:$G$81,"Y")</f>
        <v>7</v>
      </c>
      <c r="H9" s="18" t="n">
        <f aca="false">IFERROR($C9/$B9,0)</f>
        <v>0</v>
      </c>
    </row>
    <row r="10" customFormat="false" ht="15" hidden="false" customHeight="false" outlineLevel="0" collapsed="false">
      <c r="A10" s="20" t="s">
        <v>296</v>
      </c>
      <c r="B10" s="17" t="n">
        <f aca="false">COUNTIF(Steps!$B$2:$B$81,$A10)</f>
        <v>5</v>
      </c>
      <c r="C10" s="17" t="n">
        <f aca="false">COUNTIFS(Steps!$B$2:$B$81,$A10,Steps!$H$2:$H$81,"Done")</f>
        <v>0</v>
      </c>
      <c r="D10" s="17" t="n">
        <f aca="false">COUNTIFS(Steps!$B$2:$B$81,$A10,Steps!$H$2:$H$81,"In progress")</f>
        <v>0</v>
      </c>
      <c r="E10" s="17" t="n">
        <f aca="false">COUNTIFS(Steps!$B$2:$B$81,$A10,Steps!$H$2:$H$81,"Blocked")</f>
        <v>0</v>
      </c>
      <c r="F10" s="17" t="n">
        <f aca="false">COUNTIFS(Steps!$B$2:$B$81,$A10,Steps!$H$2:$H$81,"Not started")</f>
        <v>5</v>
      </c>
      <c r="G10" s="17" t="n">
        <f aca="false">COUNTIFS(Steps!$B$2:$B$81,$A10,Steps!$G$2:$G$81,"Y")</f>
        <v>3</v>
      </c>
      <c r="H10" s="18" t="n">
        <f aca="false">IFERROR($C10/$B10,0)</f>
        <v>0</v>
      </c>
    </row>
    <row r="11" customFormat="false" ht="15" hidden="false" customHeight="false" outlineLevel="0" collapsed="false">
      <c r="A11" s="25" t="s">
        <v>317</v>
      </c>
      <c r="B11" s="26" t="n">
        <f aca="false">SUM(B2:B10)</f>
        <v>80</v>
      </c>
      <c r="C11" s="26" t="n">
        <f aca="false">SUM(C2:C10)</f>
        <v>0</v>
      </c>
      <c r="D11" s="26" t="n">
        <f aca="false">SUM(D2:D10)</f>
        <v>0</v>
      </c>
      <c r="E11" s="26" t="n">
        <f aca="false">SUM(E2:E10)</f>
        <v>0</v>
      </c>
      <c r="F11" s="26" t="n">
        <f aca="false">SUM(F2:F10)</f>
        <v>80</v>
      </c>
      <c r="G11" s="26" t="n">
        <f aca="false">SUM(G2:G10)</f>
        <v>49</v>
      </c>
      <c r="H11" s="27" t="n">
        <f aca="false">IFERROR(C11/B11,0)</f>
        <v>0</v>
      </c>
    </row>
    <row r="13" customFormat="false" ht="32.8" hidden="false" customHeight="false" outlineLevel="0" collapsed="false">
      <c r="A13" s="28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29" t="s">
        <v>319</v>
      </c>
    </row>
    <row r="2" customFormat="false" ht="449.25" hidden="false" customHeight="false" outlineLevel="0" collapsed="false">
      <c r="A2" s="2" t="s">
        <v>320</v>
      </c>
    </row>
    <row r="4" customFormat="false" ht="15" hidden="false" customHeight="false" outlineLevel="0" collapsed="false">
      <c r="A4" s="4" t="s">
        <v>20</v>
      </c>
      <c r="B4" s="4" t="s">
        <v>321</v>
      </c>
      <c r="C4" s="4" t="s">
        <v>322</v>
      </c>
    </row>
    <row r="5" customFormat="false" ht="15" hidden="false" customHeight="false" outlineLevel="0" collapsed="false">
      <c r="A5" s="30" t="n">
        <v>1</v>
      </c>
      <c r="B5" s="7" t="s">
        <v>323</v>
      </c>
      <c r="C5" s="8" t="s">
        <v>324</v>
      </c>
    </row>
    <row r="6" customFormat="false" ht="15" hidden="false" customHeight="false" outlineLevel="0" collapsed="false">
      <c r="A6" s="30" t="n">
        <v>2</v>
      </c>
      <c r="B6" s="7" t="s">
        <v>325</v>
      </c>
      <c r="C6" s="8" t="s">
        <v>326</v>
      </c>
    </row>
    <row r="7" customFormat="false" ht="15" hidden="false" customHeight="false" outlineLevel="0" collapsed="false">
      <c r="A7" s="30" t="n">
        <v>3</v>
      </c>
      <c r="B7" s="7" t="s">
        <v>327</v>
      </c>
      <c r="C7" s="8" t="s">
        <v>328</v>
      </c>
    </row>
    <row r="8" customFormat="false" ht="15" hidden="false" customHeight="false" outlineLevel="0" collapsed="false">
      <c r="A8" s="30" t="n">
        <v>4</v>
      </c>
      <c r="B8" s="7" t="s">
        <v>329</v>
      </c>
      <c r="C8" s="8" t="s">
        <v>330</v>
      </c>
    </row>
    <row r="9" customFormat="false" ht="15" hidden="false" customHeight="false" outlineLevel="0" collapsed="false">
      <c r="A9" s="30" t="n">
        <v>5</v>
      </c>
      <c r="B9" s="7" t="s">
        <v>331</v>
      </c>
      <c r="C9" s="8" t="s">
        <v>332</v>
      </c>
    </row>
    <row r="10" customFormat="false" ht="15" hidden="false" customHeight="false" outlineLevel="0" collapsed="false">
      <c r="A10" s="30" t="n">
        <v>6</v>
      </c>
      <c r="B10" s="7" t="s">
        <v>333</v>
      </c>
      <c r="C10" s="8" t="s">
        <v>334</v>
      </c>
    </row>
    <row r="11" customFormat="false" ht="15" hidden="false" customHeight="false" outlineLevel="0" collapsed="false">
      <c r="A11" s="30" t="n">
        <v>7</v>
      </c>
      <c r="B11" s="7" t="s">
        <v>335</v>
      </c>
      <c r="C11" s="8" t="s">
        <v>336</v>
      </c>
    </row>
    <row r="12" customFormat="false" ht="15" hidden="false" customHeight="false" outlineLevel="0" collapsed="false">
      <c r="A12" s="30" t="n">
        <v>8</v>
      </c>
      <c r="B12" s="7" t="s">
        <v>337</v>
      </c>
      <c r="C12" s="8" t="s">
        <v>338</v>
      </c>
    </row>
    <row r="13" customFormat="false" ht="15" hidden="false" customHeight="false" outlineLevel="0" collapsed="false">
      <c r="A13" s="30" t="n">
        <v>9</v>
      </c>
      <c r="B13" s="7" t="s">
        <v>339</v>
      </c>
      <c r="C13" s="8" t="s">
        <v>340</v>
      </c>
    </row>
    <row r="14" customFormat="false" ht="15" hidden="false" customHeight="false" outlineLevel="0" collapsed="false">
      <c r="A14" s="30" t="n">
        <v>10</v>
      </c>
      <c r="B14" s="7" t="s">
        <v>341</v>
      </c>
      <c r="C14" s="8" t="s">
        <v>342</v>
      </c>
    </row>
    <row r="15" customFormat="false" ht="15" hidden="false" customHeight="false" outlineLevel="0" collapsed="false">
      <c r="A15" s="30" t="n">
        <v>11</v>
      </c>
      <c r="B15" s="7" t="s">
        <v>343</v>
      </c>
      <c r="C15" s="8" t="s">
        <v>344</v>
      </c>
    </row>
    <row r="16" customFormat="false" ht="15" hidden="false" customHeight="false" outlineLevel="0" collapsed="false">
      <c r="A16" s="30" t="n">
        <v>12</v>
      </c>
      <c r="B16" s="7" t="s">
        <v>345</v>
      </c>
      <c r="C16" s="8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7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347</v>
      </c>
      <c r="B1" s="4" t="s">
        <v>348</v>
      </c>
      <c r="C1" s="4" t="s">
        <v>349</v>
      </c>
      <c r="D1" s="4" t="s">
        <v>27</v>
      </c>
    </row>
    <row r="2" customFormat="false" ht="15" hidden="false" customHeight="false" outlineLevel="0" collapsed="false">
      <c r="A2" s="7" t="s">
        <v>350</v>
      </c>
      <c r="B2" s="30" t="s">
        <v>351</v>
      </c>
      <c r="C2" s="30" t="s">
        <v>352</v>
      </c>
      <c r="D2" s="30" t="s">
        <v>353</v>
      </c>
    </row>
    <row r="3" customFormat="false" ht="23.85" hidden="false" customHeight="false" outlineLevel="0" collapsed="false">
      <c r="A3" s="7" t="s">
        <v>354</v>
      </c>
      <c r="B3" s="30" t="s">
        <v>355</v>
      </c>
      <c r="C3" s="30" t="s">
        <v>356</v>
      </c>
      <c r="D3" s="30" t="s">
        <v>353</v>
      </c>
    </row>
    <row r="4" customFormat="false" ht="23.85" hidden="false" customHeight="false" outlineLevel="0" collapsed="false">
      <c r="A4" s="7" t="s">
        <v>357</v>
      </c>
      <c r="B4" s="30" t="s">
        <v>358</v>
      </c>
      <c r="C4" s="30" t="s">
        <v>359</v>
      </c>
      <c r="D4" s="30" t="s">
        <v>353</v>
      </c>
    </row>
    <row r="5" customFormat="false" ht="23.85" hidden="false" customHeight="false" outlineLevel="0" collapsed="false">
      <c r="A5" s="7" t="s">
        <v>360</v>
      </c>
      <c r="B5" s="30" t="s">
        <v>361</v>
      </c>
      <c r="C5" s="30" t="s">
        <v>362</v>
      </c>
      <c r="D5" s="30" t="s">
        <v>353</v>
      </c>
    </row>
    <row r="6" customFormat="false" ht="15" hidden="false" customHeight="false" outlineLevel="0" collapsed="false">
      <c r="A6" s="7" t="s">
        <v>363</v>
      </c>
      <c r="B6" s="30" t="s">
        <v>364</v>
      </c>
      <c r="C6" s="30" t="s">
        <v>365</v>
      </c>
      <c r="D6" s="30" t="s">
        <v>353</v>
      </c>
    </row>
    <row r="7" customFormat="false" ht="23.85" hidden="false" customHeight="false" outlineLevel="0" collapsed="false">
      <c r="A7" s="7" t="s">
        <v>366</v>
      </c>
      <c r="B7" s="30" t="s">
        <v>367</v>
      </c>
      <c r="C7" s="30" t="s">
        <v>368</v>
      </c>
      <c r="D7" s="30" t="s">
        <v>353</v>
      </c>
    </row>
    <row r="8" customFormat="false" ht="15" hidden="false" customHeight="false" outlineLevel="0" collapsed="false">
      <c r="A8" s="7" t="s">
        <v>369</v>
      </c>
      <c r="B8" s="30" t="s">
        <v>370</v>
      </c>
      <c r="C8" s="30" t="s">
        <v>371</v>
      </c>
      <c r="D8" s="30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2026-09-28T09:41:36Z</dcterms:created>
  <dc:creator>openpyxl</dc:creator>
  <dc:description/>
  <dc:language>en-US</dc:language>
  <cp:lastModifiedBy/>
  <dcterms:modified xsi:type="dcterms:W3CDTF">2026-09-28T09:41:36Z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