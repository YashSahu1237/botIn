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read this" sheetId="1" state="visible" r:id="rId3"/>
    <sheet name="Reconciliation" sheetId="2" state="visible" r:id="rId4"/>
    <sheet name="By verdict" sheetId="3" state="visible" r:id="rId5"/>
    <sheet name="By L1" sheetId="4" state="visible" r:id="rId6"/>
    <sheet name="Headline gap" sheetId="5" state="visible" r:id="rId7"/>
    <sheet name="Decisions needed" sheetId="6" state="visible" r:id="rId8"/>
  </sheets>
  <definedNames>
    <definedName function="false" hidden="true" localSheetId="1" name="_xlnm._FilterDatabase" vbProcedure="false">Reconciliation!$A$1:$O$69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<sst xmlns="http://schemas.openxmlformats.org/spreadsheetml/2006/main" count="952" uniqueCount="337">
  <si>
    <t xml:space="preserve">BOTIn — PRD vs concern sheet vs catalogue</t>
  </si>
  <si>
    <t xml:space="preserve">Three sources, reconciled one L2 at a time. Nothing here is a decision — it is the document that lets decisions be made.</t>
  </si>
  <si>
    <t xml:space="preserve">THE THREE SOURCES</t>
  </si>
  <si>
    <t xml:space="preserve">1. Concern sheet  "PX Outbound- YM Sathi"  — June, 59,171 tickets. 7 L1 paths, 113 decision rules, per-L2 flow status. The only source with conditions, counters and caps.</t>
  </si>
  <si>
    <t xml:space="preserve">2. PRD  "PX — Outbound Model — BOT Intervention"  — May, 50,130 tickets. 5 L1 paths, 36 L2 flows, tiers, agent-connect triggers, NFRs, rollout phases.</t>
  </si>
  <si>
    <t xml:space="preserve">3. The catalogue  concern_catalogue, 38 rows — what the service is actually configured to do today. Built FROM the concern sheet: every June volume matches exactly.</t>
  </si>
  <si>
    <t xml:space="preserve">SO THE COMPARISON IS REALLY TWO-WAY</t>
  </si>
  <si>
    <t xml:space="preserve">The catalogue is the concern sheet, in database form. The disagreement is sheet+catalogue on one side, PRD on the other.</t>
  </si>
  <si>
    <t xml:space="preserve">THE VERDICT COLUMN</t>
  </si>
  <si>
    <t xml:space="preserve">AGREE       — both describe the same thing compatibly. Build it.</t>
  </si>
  <si>
    <t xml:space="preserve">CONFLICT    — they describe incompatible things. Someone must choose before this is built.</t>
  </si>
  <si>
    <t xml:space="preserve">SHEET ONLY  — in the sheet and the catalogue, absent from the PRD.</t>
  </si>
  <si>
    <t xml:space="preserve">PRD ONLY    — in the PRD, absent from the sheet and the catalogue.</t>
  </si>
  <si>
    <t xml:space="preserve">PRD AHEAD   — the sheet marks it unspecified; the PRD specifies it. Take the PRD.</t>
  </si>
  <si>
    <t xml:space="preserve">NO FLOW     — neither source has a usable flow. Route to an agent, or drop.</t>
  </si>
  <si>
    <t xml:space="preserve">WHAT IS NOT IN HERE</t>
  </si>
  <si>
    <t xml:space="preserve">Deflection percentages in column E are the SHEET'S OWN ASSUMPTIONS — its author marked them editable. They are not measured.</t>
  </si>
  <si>
    <t xml:space="preserve">The PRD's 86% and the sheet's 61.5% are both estimates of the same quantity. See the "Headline gap" tab.</t>
  </si>
  <si>
    <t xml:space="preserve">L1 (sheet)</t>
  </si>
  <si>
    <t xml:space="preserve">L2 (as in June data)</t>
  </si>
  <si>
    <t xml:space="preserve">June vol</t>
  </si>
  <si>
    <t xml:space="preserve">Sheet flow status</t>
  </si>
  <si>
    <t xml:space="preserve">Sheet deflection %</t>
  </si>
  <si>
    <t xml:space="preserve">Sheet reroutes to</t>
  </si>
  <si>
    <t xml:space="preserve">Catalogue code</t>
  </si>
  <si>
    <t xml:space="preserve">Active</t>
  </si>
  <si>
    <t xml:space="preserve">Rules</t>
  </si>
  <si>
    <t xml:space="preserve">Build state</t>
  </si>
  <si>
    <t xml:space="preserve">PRD path</t>
  </si>
  <si>
    <t xml:space="preserve">PRD tier</t>
  </si>
  <si>
    <t xml:space="preserve">VERDICT</t>
  </si>
  <si>
    <t xml:space="preserve">Decision needed</t>
  </si>
  <si>
    <t xml:space="preserve">Sheet basis for its assumption</t>
  </si>
  <si>
    <t xml:space="preserve">Violations</t>
  </si>
  <si>
    <t xml:space="preserve">Violation</t>
  </si>
  <si>
    <t xml:space="preserve">DEFINED</t>
  </si>
  <si>
    <t xml:space="preserve">VIOL_* (17 rows)</t>
  </si>
  <si>
    <t xml:space="preserve">Y</t>
  </si>
  <si>
    <t xml:space="preserve">54</t>
  </si>
  <si>
    <t xml:space="preserve">SEEDED, no code</t>
  </si>
  <si>
    <t xml:space="preserve">— (no Violations path)</t>
  </si>
  <si>
    <t xml:space="preserve">—</t>
  </si>
  <si>
    <t xml:space="preserve">SHEET ONLY</t>
  </si>
  <si>
    <t xml:space="preserve">VIOL_R4_OTHERS is built (free-text router); the other 16 are seeded only. Largest single block: 9,769 + 12,781 fines folding in = 22,550/mo. PRD has no Violations L1; strike appeal sits under Other Related. Decide where Violations lives, and whether it returns to scope.</t>
  </si>
  <si>
    <t xml:space="preserve">Most Type-2 reasons decide on objective data (distance, timestamps, counters) and upholds close without an agent. Ticket branches: rude behaviour, &lt;Rs800, R9 logistics, R13, cap-exceeded, R2 call-contradiction, T3 pushback.</t>
  </si>
  <si>
    <t xml:space="preserve">Fine Related</t>
  </si>
  <si>
    <t xml:space="preserve">rule break fine/Other fines</t>
  </si>
  <si>
    <t xml:space="preserve">DEPRECATED</t>
  </si>
  <si>
    <t xml:space="preserve">FINE_ALL</t>
  </si>
  <si>
    <t xml:space="preserve">N</t>
  </si>
  <si>
    <t xml:space="preserve">1</t>
  </si>
  <si>
    <t xml:space="preserve">T2</t>
  </si>
  <si>
    <t xml:space="preserve">CONFLICT</t>
  </si>
  <si>
    <t xml:space="preserve">Sheet DEPRECATES the whole Fine L1 into the strike system; PRD keeps it live with its own flow. 6,362/mo. One of these is wrong.</t>
  </si>
  <si>
    <t xml:space="preserve">Fines now link to the strike system only — these become violation challenges and inherit the Violations rate.</t>
  </si>
  <si>
    <t xml:space="preserve">Leaves fine</t>
  </si>
  <si>
    <t xml:space="preserve">Same conflict as rule-break fine. 6,085/mo.</t>
  </si>
  <si>
    <t xml:space="preserve">Same as above — leave fines fold into Type-1 same-day-leave violation logic.</t>
  </si>
  <si>
    <t xml:space="preserve">Late job Fine</t>
  </si>
  <si>
    <t xml:space="preserve">— </t>
  </si>
  <si>
    <t xml:space="preserve">Job-related fines being stopped; residual only. Confirm retirement.</t>
  </si>
  <si>
    <t xml:space="preserve">Job-related fines being stopped; residual folds into strikes.</t>
  </si>
  <si>
    <t xml:space="preserve">Expert issue with customer rating</t>
  </si>
  <si>
    <t xml:space="preserve">Violations / Other-data</t>
  </si>
  <si>
    <t xml:space="preserve">Other Related</t>
  </si>
  <si>
    <t xml:space="preserve">T3</t>
  </si>
  <si>
    <t xml:space="preserve">AGREE</t>
  </si>
  <si>
    <t xml:space="preserve">Both route it away from the bot. Sheet deprecates to Violations/Other-data; PRD makes it T3. Same outcome, different home.</t>
  </si>
  <si>
    <t xml:space="preserve">Rating corrections need customer confirmation → mostly agent.</t>
  </si>
  <si>
    <t xml:space="preserve">Escalations fine</t>
  </si>
  <si>
    <t xml:space="preserve">T1</t>
  </si>
  <si>
    <t xml:space="preserve">Sheet deprecates; PRD keeps as T1 non-refundable message. Low volume (25) but the policy must be stated somewhere.</t>
  </si>
  <si>
    <t xml:space="preserve">Escalation fines are non-refundable — a clean deny-and-explain.</t>
  </si>
  <si>
    <t xml:space="preserve">Amount Related</t>
  </si>
  <si>
    <t xml:space="preserve">Transport amount nahi mila</t>
  </si>
  <si>
    <t xml:space="preserve">TRANSPORT_NOT_RECEIVED</t>
  </si>
  <si>
    <t xml:space="preserve">9</t>
  </si>
  <si>
    <t xml:space="preserve">BUILT</t>
  </si>
  <si>
    <t xml:space="preserve">Amount related</t>
  </si>
  <si>
    <t xml:space="preserve">No decision needed. BUILT. Blocked only on the data answers (N2, Q6, paise-vs-rupees, arrived_at300_m).</t>
  </si>
  <si>
    <t xml:space="preserve">Nearly every branch is a bot decision (arrivedAt300metre, cancellation status, haversine). Tickets only when &gt;Rs300 cap or the CR-without-cashback anomaly.</t>
  </si>
  <si>
    <t xml:space="preserve">Online Booking Ke pese nahi mile</t>
  </si>
  <si>
    <t xml:space="preserve">~85% reroutes out</t>
  </si>
  <si>
    <t xml:space="preserve">ONLINE_BOOKING_MONEY</t>
  </si>
  <si>
    <t xml:space="preserve">5</t>
  </si>
  <si>
    <t xml:space="preserve">No decision needed. Seeded, not built.</t>
  </si>
  <si>
    <t xml:space="preserve">85% mis-tagged → inherit destination rates (~70%); of the genuine 15%, prepaid-flag mismatches auto-credit but mixed/COD disputes need an agent (~50%).</t>
  </si>
  <si>
    <t xml:space="preserve">Saving &lt;Rs5000 → bank transfer</t>
  </si>
  <si>
    <t xml:space="preserve">ARW transfer</t>
  </si>
  <si>
    <t xml:space="preserve">SAVING_UNDER_5K</t>
  </si>
  <si>
    <t xml:space="preserve">Sheet: Rs5,000 minimum REMOVED, 100% mis-tagged, DEPRECATED. PRD: live T2 rule check. 1,042/mo. Confirm the minimum is really gone.</t>
  </si>
  <si>
    <t xml:space="preserve">Rs5,000 minimum removed — 100% mis-tagged, inherits the ARW blocker-explain rate.</t>
  </si>
  <si>
    <t xml:space="preserve">Recharge kiya pese cut gaye aaye nahi</t>
  </si>
  <si>
    <t xml:space="preserve">RECHARGE_DEBIT_NO_CREDIT</t>
  </si>
  <si>
    <t xml:space="preserve">4</t>
  </si>
  <si>
    <t xml:space="preserve">No decision needed. BUILT. Blocked on N3 (the PayU link).</t>
  </si>
  <si>
    <t xml:space="preserve">Failed and pending-at-PayU both resolve in chat; success-not-credited auto-credits. Only PayU-pending and dissatisfied-SP cases ticket.</t>
  </si>
  <si>
    <t xml:space="preserve">Forget MPIN</t>
  </si>
  <si>
    <t xml:space="preserve">FORGET_MPIN</t>
  </si>
  <si>
    <t xml:space="preserve">No decision needed. BUILT and fully working — the only concern live today.</t>
  </si>
  <si>
    <t xml:space="preserve">Single deeplink, no backend check, no exceptions.</t>
  </si>
  <si>
    <t xml:space="preserve">Saving account ke paise Bank account me Transfer (ARW)</t>
  </si>
  <si>
    <t xml:space="preserve">ARW_TO_BANK</t>
  </si>
  <si>
    <t xml:space="preserve">6</t>
  </si>
  <si>
    <t xml:space="preserve">Tier differs (sheet implies bot action, PRD T1 explain). Minor — confirm whether the bot transfers or explains.</t>
  </si>
  <si>
    <t xml:space="preserve">Four hard blockers (negative wallet, advance pending, 5-txn, Rs40k) are all deny-and-explain; only the unexplained-failure branch tickets.</t>
  </si>
  <si>
    <t xml:space="preserve">Wallet ke paise Bank account me Transfer</t>
  </si>
  <si>
    <t xml:space="preserve">MAIN_WALLET_TO_BANK</t>
  </si>
  <si>
    <t xml:space="preserve">3</t>
  </si>
  <si>
    <t xml:space="preserve">As above.</t>
  </si>
  <si>
    <t xml:space="preserve">Rs500 floor and Cashfree-low both resolve in chat.</t>
  </si>
  <si>
    <t xml:space="preserve">Mera account verify kr dijiye</t>
  </si>
  <si>
    <t xml:space="preserve">PARTIAL</t>
  </si>
  <si>
    <t xml:space="preserve">not in catalogue</t>
  </si>
  <si>
    <t xml:space="preserve">Sheet marks PARTIAL at 10% deflection — "bot can read status but the action needs a human". PRD makes it T2 auto-action. Decide which.</t>
  </si>
  <si>
    <t xml:space="preserve">Bot can read verification status but the Verify action is agent-side in v1. Auto-verify API would take this to ~90%.</t>
  </si>
  <si>
    <t xml:space="preserve">Booking banwani hai</t>
  </si>
  <si>
    <t xml:space="preserve">Other: booking deeplink</t>
  </si>
  <si>
    <t xml:space="preserve">OTHER_BOOKING_REQ</t>
  </si>
  <si>
    <t xml:space="preserve">REROUTE — inherits its target</t>
  </si>
  <si>
    <t xml:space="preserve">Self-serve deeplink. Sheet has it under both Amount and Other; PRD under Other. Pick one home.</t>
  </si>
  <si>
    <t xml:space="preserve">Self-serve deeplink.</t>
  </si>
  <si>
    <t xml:space="preserve">Want to rejoin</t>
  </si>
  <si>
    <t xml:space="preserve">NOT DEFINED</t>
  </si>
  <si>
    <t xml:space="preserve">NO FLOW</t>
  </si>
  <si>
    <t xml:space="preserve">1/mo. Leave undefined or route to agent.</t>
  </si>
  <si>
    <t xml:space="preserve">No flow specified.</t>
  </si>
  <si>
    <t xml:space="preserve">Product Issues</t>
  </si>
  <si>
    <t xml:space="preserve">Product out of stock</t>
  </si>
  <si>
    <t xml:space="preserve">PROD_OUT_OF_STOCK</t>
  </si>
  <si>
    <t xml:space="preserve">— (no Product path)</t>
  </si>
  <si>
    <t xml:space="preserve">PRD has no Product Issues L1 at all. 2,807/mo, and the sheet flags only the category-mismatch branch as automatable.</t>
  </si>
  <si>
    <t xml:space="preserve">CAUTION: only the category-mismatch branch resolves in chat. Both a genuine stock-out AND a false out-of-stock create a ticket by design.</t>
  </si>
  <si>
    <t xml:space="preserve">3 Din se jyada ho gaye product nahi aaya (Delay in delivery)</t>
  </si>
  <si>
    <t xml:space="preserve">PROD_DELIVERY_DELAY</t>
  </si>
  <si>
    <t xml:space="preserve">2</t>
  </si>
  <si>
    <t xml:space="preserve">BUILT, tested, 2,306/mo — and has nowhere to live in the PRD. This is the sharpest single example of the taxonomy gap.</t>
  </si>
  <si>
    <t xml:space="preserve">Within-TAT cases resolve with an expected-date message; anything past the 11 PM deadline is a logistics ticket.</t>
  </si>
  <si>
    <t xml:space="preserve">App se Product nahi lag pa raha</t>
  </si>
  <si>
    <t xml:space="preserve">PROD_APP_FAILURE</t>
  </si>
  <si>
    <t xml:space="preserve">Defined outcome is a tech ticket. 873/mo.</t>
  </si>
  <si>
    <t xml:space="preserve">Defined outcome is a tech ticket; only mis-described cases reroute out.</t>
  </si>
  <si>
    <t xml:space="preserve">Missing Product Request</t>
  </si>
  <si>
    <t xml:space="preserve">L2 deferred by the sheet; absent from the PRD.</t>
  </si>
  <si>
    <t xml:space="preserve">L2 deferred.</t>
  </si>
  <si>
    <t xml:space="preserve">Product me koi issue</t>
  </si>
  <si>
    <t xml:space="preserve">Product Payment related issue</t>
  </si>
  <si>
    <t xml:space="preserve">Likely Amount L1</t>
  </si>
  <si>
    <t xml:space="preserve">Sheet suggests it may reroute into Amount. Confirm.</t>
  </si>
  <si>
    <t xml:space="preserve">L2 deferred — may reroute into Amount flows once defined.</t>
  </si>
  <si>
    <t xml:space="preserve">Kit Related Issue</t>
  </si>
  <si>
    <t xml:space="preserve">L2 deferred; absent from the PRD.</t>
  </si>
  <si>
    <t xml:space="preserve">Delivery boy Complaint</t>
  </si>
  <si>
    <t xml:space="preserve">Jo Product Deliver hua hai Wo Damage hai</t>
  </si>
  <si>
    <t xml:space="preserve">Damage Product Request</t>
  </si>
  <si>
    <t xml:space="preserve">Other issues</t>
  </si>
  <si>
    <t xml:space="preserve">Other any issue</t>
  </si>
  <si>
    <t xml:space="preserve">Reroutes across engine</t>
  </si>
  <si>
    <t xml:space="preserve">OTHER_FREETEXT_TRIAGE</t>
  </si>
  <si>
    <t xml:space="preserve">— (free-text triage)</t>
  </si>
  <si>
    <t xml:space="preserve">BUILT. 4,640/mo of mis-tagged traffic that the triage classifier reroutes. The PRD assumes audio-note L1 selection instead.</t>
  </si>
  <si>
    <t xml:space="preserve">Free-text triage sends most of these to a defined flow (inheriting ~70%); the genuinely unclassifiable residual tickets.</t>
  </si>
  <si>
    <t xml:space="preserve">Hub/Time change karwana hai</t>
  </si>
  <si>
    <t xml:space="preserve">OTHER_HUB_TIME</t>
  </si>
  <si>
    <t xml:space="preserve">T2/T1</t>
  </si>
  <si>
    <t xml:space="preserve">PRD splits this into "Hub add/delete" and "Shift-time change". Sheet keeps one L2. Decide whether to split the catalogue row.</t>
  </si>
  <si>
    <t xml:space="preserve">Time-INCREASE is a self-serve deeplink; hub-change is always a ticket; reduce-hours is undecided. Rate depends on the hub-vs-time split — measure it.</t>
  </si>
  <si>
    <t xml:space="preserve">Mere Partner App me Data Wrong Show ho raha hai</t>
  </si>
  <si>
    <t xml:space="preserve">OTHER_WRONG_DATA</t>
  </si>
  <si>
    <t xml:space="preserve">Only the monthly-summary-before-the-10th case explains away; specific count and rating errors go to RM/agent.</t>
  </si>
  <si>
    <t xml:space="preserve">Call masking issue</t>
  </si>
  <si>
    <t xml:space="preserve">600/mo. Direct ticket per the original SOP; no rule defined and absent from the PRD.</t>
  </si>
  <si>
    <t xml:space="preserve">Direct ticket per original SOP; no rule built.</t>
  </si>
  <si>
    <t xml:space="preserve">Id Active/Deactivate Karani hai</t>
  </si>
  <si>
    <t xml:space="preserve">OTHER_ID_ACTIVATE</t>
  </si>
  <si>
    <t xml:space="preserve">No decision needed.</t>
  </si>
  <si>
    <t xml:space="preserve">Defined outcome is a ticket after reason capture.</t>
  </si>
  <si>
    <t xml:space="preserve">Issue with Customer / Block Customer</t>
  </si>
  <si>
    <t xml:space="preserve">OTHER_BLOCK_CUSTOMER</t>
  </si>
  <si>
    <t xml:space="preserve">Fully automated block from backend. Absent from the PRD.</t>
  </si>
  <si>
    <t xml:space="preserve">Fully automated block from backend after confirm.</t>
  </si>
  <si>
    <t xml:space="preserve">Leave hata dijiye</t>
  </si>
  <si>
    <t xml:space="preserve">Leaves</t>
  </si>
  <si>
    <t xml:space="preserve">Auto-check of who marked the leave; company-side is deny-and-explain, SP-side auto-removes.</t>
  </si>
  <si>
    <t xml:space="preserve">Amount: transport</t>
  </si>
  <si>
    <t xml:space="preserve">Mis-tagged; inherits transport rate.</t>
  </si>
  <si>
    <t xml:space="preserve">Expert ko shift time change karwana hai</t>
  </si>
  <si>
    <t xml:space="preserve">Hub/Time</t>
  </si>
  <si>
    <t xml:space="preserve">Not matched to a PRD concern.</t>
  </si>
  <si>
    <t xml:space="preserve">Inherits hub/time rate.</t>
  </si>
  <si>
    <t xml:space="preserve">Mis-tagged; inherits Violations rate.</t>
  </si>
  <si>
    <t xml:space="preserve">Job Related</t>
  </si>
  <si>
    <t xml:space="preserve">Job nahi aa rahi hai</t>
  </si>
  <si>
    <t xml:space="preserve">PROJECTED</t>
  </si>
  <si>
    <t xml:space="preserve">Realtime Job</t>
  </si>
  <si>
    <t xml:space="preserve">PRD AHEAD</t>
  </si>
  <si>
    <t xml:space="preserve">Sheet says the whole L1 is unspecified; the PRD specifies it. Take the PRD as the source here.</t>
  </si>
  <si>
    <t xml:space="preserve">PROJECTION — L1 not yet specified. Profile diagnostic (visibility, hubs, leave, live slot) resolves most; only genuine config faults ticket.</t>
  </si>
  <si>
    <t xml:space="preserve">Door ki job hai</t>
  </si>
  <si>
    <t xml:space="preserve">Reuses far-job logic</t>
  </si>
  <si>
    <t xml:space="preserve">PRD folds this into "Job pe nahi jana" with a reason dropdown.</t>
  </si>
  <si>
    <t xml:space="preserve">PROJECTION — &gt;1hr to booking is a self-serve reject; &lt;1hr needs live handling.</t>
  </si>
  <si>
    <t xml:space="preserve">Customer not responding</t>
  </si>
  <si>
    <t xml:space="preserve">PRD adds order parking + auto Rs100 (R-08). Needs IVR.</t>
  </si>
  <si>
    <t xml:space="preserve">PROJECTION — needs live call-merge / customer contact.</t>
  </si>
  <si>
    <t xml:space="preserve">Job Reschedule</t>
  </si>
  <si>
    <t xml:space="preserve">PRD specifies in-app guidance with agent fallback.</t>
  </si>
  <si>
    <t xml:space="preserve">PROJECTION — self-serve app steps.</t>
  </si>
  <si>
    <t xml:space="preserve">Service add/delete karwani hai</t>
  </si>
  <si>
    <t xml:space="preserve">PRD: allow only if &gt;=60 min, recompute amount, settle COD/paid (R-02, R-03).</t>
  </si>
  <si>
    <t xml:space="preserve">PROJECTION — order modification is agent-side until an API exists.</t>
  </si>
  <si>
    <t xml:space="preserve">Job Show kara dijiye</t>
  </si>
  <si>
    <t xml:space="preserve">PRD: send job details over WhatsApp/app.</t>
  </si>
  <si>
    <t xml:space="preserve">PROJECTION — auto-send job details on WhatsApp.</t>
  </si>
  <si>
    <t xml:space="preserve">Job start kar dijiye/Reach OTP</t>
  </si>
  <si>
    <t xml:space="preserve">PRD: start-job flow from a not-started dropdown (R-10).</t>
  </si>
  <si>
    <t xml:space="preserve">PROJECTION — Expert Care redirect / geo-verified start.</t>
  </si>
  <si>
    <t xml:space="preserve">Customer ko cancel karwani hai</t>
  </si>
  <si>
    <t xml:space="preserve">PRD requires IVR confirmation from the customer before cancelling (R-06).</t>
  </si>
  <si>
    <t xml:space="preserve">PROJECTION — always needs customer VOC confirmation call.</t>
  </si>
  <si>
    <t xml:space="preserve">Other(Expert wants call back)</t>
  </si>
  <si>
    <t xml:space="preserve">Callback is a ticket by definition.</t>
  </si>
  <si>
    <t xml:space="preserve">PROJECTION — callback is a ticket by definition.</t>
  </si>
  <si>
    <t xml:space="preserve">Customer address nahi mil raha hai</t>
  </si>
  <si>
    <t xml:space="preserve">PRD: conference-call the customer twice, then agent (R-07).</t>
  </si>
  <si>
    <t xml:space="preserve">PROJECTION — usually needs live contact.</t>
  </si>
  <si>
    <t xml:space="preserve">Leaves Related</t>
  </si>
  <si>
    <t xml:space="preserve">Job pe nahi jaana - Personal reasons</t>
  </si>
  <si>
    <t xml:space="preserve">LEAVE_ALL</t>
  </si>
  <si>
    <t xml:space="preserve">Leave</t>
  </si>
  <si>
    <t xml:space="preserve">T0</t>
  </si>
  <si>
    <t xml:space="preserve">PRD collapses all twelve leave L2s into one T0 guidance-video + deep-link flow; the catalogue already does the same with LEAVE_ALL. Accident is the exception in both.</t>
  </si>
  <si>
    <t xml:space="preserve">App self-serve for leave; only app failures ticket.</t>
  </si>
  <si>
    <t xml:space="preserve">Product nahin hai</t>
  </si>
  <si>
    <t xml:space="preserve">App self-serve.</t>
  </si>
  <si>
    <t xml:space="preserve">Auto-check who marked the leave; both branches resolve in chat.</t>
  </si>
  <si>
    <t xml:space="preserve">Long leaves</t>
  </si>
  <si>
    <t xml:space="preserve">Same day leave</t>
  </si>
  <si>
    <t xml:space="preserve">Health issue</t>
  </si>
  <si>
    <t xml:space="preserve">Next day leave Job</t>
  </si>
  <si>
    <t xml:space="preserve">Accident</t>
  </si>
  <si>
    <t xml:space="preserve">Realtime Job / Leave</t>
  </si>
  <si>
    <t xml:space="preserve">Safety-critical in both documents: always an agent. No decision needed.</t>
  </si>
  <si>
    <t xml:space="preserve">By design: critical escalation with human contact — deliberately never bot-closed.</t>
  </si>
  <si>
    <t xml:space="preserve">Death in family</t>
  </si>
  <si>
    <t xml:space="preserve">App self-serve with an empathetic lead-in.</t>
  </si>
  <si>
    <t xml:space="preserve">Kam amount ki job</t>
  </si>
  <si>
    <t xml:space="preserve">Transport-amount pitch, then self-serve reject + leave.</t>
  </si>
  <si>
    <t xml:space="preserve">Girls problem</t>
  </si>
  <si>
    <t xml:space="preserve">Emergency leave</t>
  </si>
  <si>
    <t xml:space="preserve">Job stop</t>
  </si>
  <si>
    <t xml:space="preserve">PRD ONLY</t>
  </si>
  <si>
    <t xml:space="preserve">In the PRD, absent from the June volume model. Confirm it is a real concern and get its volume.</t>
  </si>
  <si>
    <t xml:space="preserve">Safety-critical. The sheet has Accident only under Leaves. Confirm which entry point.</t>
  </si>
  <si>
    <t xml:space="preserve">Cashback amount nahi aaya</t>
  </si>
  <si>
    <t xml:space="preserve">IN MATRIX, NOT IN VOLUME MODEL</t>
  </si>
  <si>
    <t xml:space="preserve">CASHBACK_NOT_RECEIVED</t>
  </si>
  <si>
    <t xml:space="preserve">In the Decision Matrix and the catalogue, absent from the Volume Model tab. Sheet internal inconsistency — confirm volume.</t>
  </si>
  <si>
    <t xml:space="preserve">Referral ka amount nahi aaya</t>
  </si>
  <si>
    <t xml:space="preserve">REFERRAL_NOT_RECEIVED</t>
  </si>
  <si>
    <t xml:space="preserve">Amount difference in job</t>
  </si>
  <si>
    <t xml:space="preserve">In the PRD only. Not in the sheet, not in the catalogue. Confirm it exists and get its volume.</t>
  </si>
  <si>
    <t xml:space="preserve">Legal help chahiye</t>
  </si>
  <si>
    <t xml:space="preserve">OTHER_LEGAL</t>
  </si>
  <si>
    <t xml:space="preserve">Sensitive: agent in both. Mandatory-human category (trigger B).</t>
  </si>
  <si>
    <t xml:space="preserve">Exclusive data wrong aa raha hai</t>
  </si>
  <si>
    <t xml:space="preserve">The catalogue folds this into OTHER_WRONG_DATA with rating/app-data. PRD lists it separately.</t>
  </si>
  <si>
    <t xml:space="preserve">Strike-related (appeal)</t>
  </si>
  <si>
    <t xml:space="preserve">THE KEY ROW. PRD puts strike appeals under Other Related as a single T1. The sheet models them as 17 Violations concerns with 54 rules. Same problem, two completely different designs.</t>
  </si>
  <si>
    <t xml:space="preserve">Verdict</t>
  </si>
  <si>
    <t xml:space="preserve">Concerns</t>
  </si>
  <si>
    <t xml:space="preserve">June volume</t>
  </si>
  <si>
    <t xml:space="preserve">Share of volume</t>
  </si>
  <si>
    <t xml:space="preserve">What it means</t>
  </si>
  <si>
    <t xml:space="preserve">Incompatible. A person must choose before any of this is built.</t>
  </si>
  <si>
    <t xml:space="preserve">Neither source has a flow. Route to an agent, or drop.</t>
  </si>
  <si>
    <t xml:space="preserve">In the catalogue, absent from the PRD. Decide whether it stays in scope.</t>
  </si>
  <si>
    <t xml:space="preserve">In the PRD, absent from the catalogue. Confirm it is real and get its volume.</t>
  </si>
  <si>
    <t xml:space="preserve">Sheet says unspecified, PRD specifies. Take the PRD as the source.</t>
  </si>
  <si>
    <t xml:space="preserve">Both sources compatible. Buildable once the data answers land.</t>
  </si>
  <si>
    <t xml:space="preserve">TOTAL</t>
  </si>
  <si>
    <t xml:space="preserve">Volume is the sheet's June figure. Rows with no volume (PRD-only concerns, and concerns the sheet lists without a count) contribute 0, so the shares understate them.</t>
  </si>
  <si>
    <t xml:space="preserve">L1</t>
  </si>
  <si>
    <t xml:space="preserve">Conflicts</t>
  </si>
  <si>
    <t xml:space="preserve">No flow</t>
  </si>
  <si>
    <t xml:space="preserve">Agreed</t>
  </si>
  <si>
    <t xml:space="preserve">Built today</t>
  </si>
  <si>
    <t xml:space="preserve">Total is 59,539 against the sheet's 59,171. The 368 difference is Cashback (176) and Referral (192) — both in the sheet's Decision Matrix and in the catalogue, but missing from its Volume Model tab. That is an inconsistency inside the concern sheet, not an error here.</t>
  </si>
  <si>
    <t xml:space="preserve">The two documents disagree about the business case by a quarter of all volume</t>
  </si>
  <si>
    <t xml:space="preserve">Source</t>
  </si>
  <si>
    <t xml:space="preserve">Says</t>
  </si>
  <si>
    <t xml:space="preserve">Basis</t>
  </si>
  <si>
    <t xml:space="preserve">Shown its working?</t>
  </si>
  <si>
    <t xml:space="preserve">PRD §7.2</t>
  </si>
  <si>
    <t xml:space="preserve">86.0% bot-handled (T0+T1+T2), 14.0% agent</t>
  </si>
  <si>
    <t xml:space="preserve">May, 50,130 tickets</t>
  </si>
  <si>
    <t xml:space="preserve">No — a top-down tier split with no per-concern derivation</t>
  </si>
  <si>
    <t xml:space="preserve">Concern sheet, L1 Rollup</t>
  </si>
  <si>
    <t xml:space="preserve">61.5% resolved without an agent</t>
  </si>
  <si>
    <t xml:space="preserve">June, 59,171 tickets</t>
  </si>
  <si>
    <t xml:space="preserve">Yes — a deflection assumption per L2, each with a written basis</t>
  </si>
  <si>
    <t xml:space="preserve">Concern sheet, Outcome Summary</t>
  </si>
  <si>
    <t xml:space="preserve">69.0% of BRANCHES need no human</t>
  </si>
  <si>
    <t xml:space="preserve">113 decision branches</t>
  </si>
  <si>
    <t xml:space="preserve">Yes — and it carries its own caveat that branches are not volume</t>
  </si>
  <si>
    <t xml:space="preserve">Why this matters more than it looks</t>
  </si>
  <si>
    <t xml:space="preserve">The 86% is the number in the business case, and the 61.5% is the number derived from the rules that were actually written. They measure the same thing: share needing no human.</t>
  </si>
  <si>
    <t xml:space="preserve">The sheet is the more careful estimate — bottom-up, per concern, with its assumptions flagged as editable by its own author. It is also the more recent month.</t>
  </si>
  <si>
    <t xml:space="preserve">Neither is measured. Both are forecasts. The only way to know is to log what the bot WOULD have decided beside what an agent actually did, before anything is switched on.</t>
  </si>
  <si>
    <t xml:space="preserve">What to do about it</t>
  </si>
  <si>
    <t xml:space="preserve">Settle which number the business case commits to before anything is built against it, and state which document it came from.</t>
  </si>
  <si>
    <t xml:space="preserve">If the 86% stands, the gap has to be found somewhere — most plausibly in Violations, which the sheet puts at 70% deflection over 22,550 monthly cases and the PRD does not model at all.</t>
  </si>
  <si>
    <t xml:space="preserve">#</t>
  </si>
  <si>
    <t xml:space="preserve">Decision</t>
  </si>
  <si>
    <t xml:space="preserve">Volume at stake</t>
  </si>
  <si>
    <t xml:space="preserve">Why it cannot wait</t>
  </si>
  <si>
    <t xml:space="preserve">Who</t>
  </si>
  <si>
    <t xml:space="preserve">Does the Fine L1 stay live, or fold into the strike system?</t>
  </si>
  <si>
    <t xml:space="preserve">Sheet deprecates the entire L1 into Violations; PRD keeps three live flows. The two describe incompatible systems, and this is the second-largest block of volume.</t>
  </si>
  <si>
    <t xml:space="preserve">Product</t>
  </si>
  <si>
    <t xml:space="preserve">Is Violations in scope, and where does it live?</t>
  </si>
  <si>
    <t xml:space="preserve">The sheet's largest single L1, at 70% deflection. The PRD has no Violations path — strike appeals appear as ONE T1 row under Other Related, against 17 concerns and 54 rules in the sheet. It was removed from POC scope in September.</t>
  </si>
  <si>
    <t xml:space="preserve">Product + Engineering</t>
  </si>
  <si>
    <t xml:space="preserve">Does Product Issues exist as an L1?</t>
  </si>
  <si>
    <t xml:space="preserve">Absent from the PRD entirely. PROD_DELIVERY_DELAY is built, tested and carries 2,306/mo with nowhere to live. Seven further L2s are undefined in both.</t>
  </si>
  <si>
    <t xml:space="preserve">Which headline number does the business case commit to — 86% or 61.5%?</t>
  </si>
  <si>
    <t xml:space="preserve">They differ by a quarter of all volume and both are forecasts. Everything downstream — staffing, the agent-connect target, the phase gates — is sized off this.</t>
  </si>
  <si>
    <t xml:space="preserve">Product + Leadership</t>
  </si>
  <si>
    <t xml:space="preserve">Is the Rs5,000 savings minimum really removed?</t>
  </si>
  <si>
    <t xml:space="preserve">Sheet says removed and the concern 100% mis-tagged, so DEPRECATED. PRD keeps it as a live T2 rule check.</t>
  </si>
  <si>
    <t xml:space="preserve">Account verification: T2 auto-action or human?</t>
  </si>
  <si>
    <t xml:space="preserve">Sheet marks PARTIAL at 10% deflection — the bot can read status but not act. PRD makes it T2.</t>
  </si>
  <si>
    <t xml:space="preserve">Job Related — adopt the PRD as the source for this L1?</t>
  </si>
  <si>
    <t xml:space="preserve">The sheet says the entire L1 is unspecified. The PRD specifies eleven flows and most of the new capabilities R-01 to R-10 live inside it. Confirm the PRD wins here.</t>
  </si>
  <si>
    <t xml:space="preserve">The 2,933/mo with no flow in either document.</t>
  </si>
  <si>
    <t xml:space="preserve">Eleven concerns where neither source defines anything. Under NFR-01 every one of them still has to be reachable through Help at launch, even if only to reach an agent.</t>
  </si>
  <si>
    <t xml:space="preserve">Volume at stake is the sheet's June figure for the concerns the decision covers.</t>
  </si>
</sst>
</file>

<file path=xl/styles.xml><?xml version="1.0" encoding="utf-8"?>
<styleSheet xmlns="http://schemas.openxmlformats.org/spreadsheetml/2006/main">
  <numFmts count="6">
    <numFmt numFmtId="164" formatCode="General"/>
    <numFmt numFmtId="165" formatCode="#,##0"/>
    <numFmt numFmtId="166" formatCode="0%"/>
    <numFmt numFmtId="167" formatCode="General"/>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sz val="9"/>
      <name val="Arial"/>
      <family val="0"/>
      <charset val="1"/>
    </font>
    <font>
      <b val="true"/>
      <sz val="12"/>
      <name val="Arial"/>
      <family val="0"/>
      <charset val="1"/>
    </font>
  </fonts>
  <fills count="8">
    <fill>
      <patternFill patternType="none"/>
    </fill>
    <fill>
      <patternFill patternType="gray125"/>
    </fill>
    <fill>
      <patternFill patternType="solid">
        <fgColor rgb="FF2F4468"/>
        <bgColor rgb="FF333333"/>
      </patternFill>
    </fill>
    <fill>
      <patternFill patternType="solid">
        <fgColor rgb="FFFDF0DC"/>
        <bgColor rgb="FFEFEFEF"/>
      </patternFill>
    </fill>
    <fill>
      <patternFill patternType="solid">
        <fgColor rgb="FFFBE3E2"/>
        <bgColor rgb="FFFDF0DC"/>
      </patternFill>
    </fill>
    <fill>
      <patternFill patternType="solid">
        <fgColor rgb="FFE8F3EC"/>
        <bgColor rgb="FFEFEFEF"/>
      </patternFill>
    </fill>
    <fill>
      <patternFill patternType="solid">
        <fgColor rgb="FFEFEFEF"/>
        <bgColor rgb="FFE8F3EC"/>
      </patternFill>
    </fill>
    <fill>
      <patternFill patternType="solid">
        <fgColor rgb="FFE7EDF8"/>
        <bgColor rgb="FFEFEFE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F4468"/>
          <bgColor rgb="FF000000"/>
        </patternFill>
      </fill>
    </dxf>
    <dxf>
      <fill>
        <patternFill patternType="solid">
          <bgColor rgb="FF000000"/>
        </patternFill>
      </fill>
    </dxf>
    <dxf>
      <fill>
        <patternFill patternType="solid">
          <fgColor rgb="FFFFFFFF"/>
          <bgColor rgb="FF000000"/>
        </patternFill>
      </fill>
    </dxf>
    <dxf>
      <fill>
        <patternFill patternType="solid">
          <fgColor rgb="FFE7EDF8"/>
          <bgColor rgb="FF000000"/>
        </patternFill>
      </fill>
    </dxf>
    <dxf>
      <fill>
        <patternFill patternType="solid">
          <fgColor rgb="FFE8F3EC"/>
          <bgColor rgb="FF000000"/>
        </patternFill>
      </fill>
    </dxf>
    <dxf>
      <fill>
        <patternFill patternType="solid">
          <fgColor rgb="FFEFEFEF"/>
          <bgColor rgb="FF000000"/>
        </patternFill>
      </fill>
    </dxf>
    <dxf>
      <fill>
        <patternFill patternType="solid">
          <fgColor rgb="FFFBE3E2"/>
          <bgColor rgb="FF000000"/>
        </patternFill>
      </fill>
    </dxf>
    <dxf>
      <fill>
        <patternFill patternType="solid">
          <fgColor rgb="FFFDF0D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DC"/>
      <rgbColor rgb="FFE8F3EC"/>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7EDF8"/>
      <rgbColor rgb="FFEFEFEF"/>
      <rgbColor rgb="FFFFFF99"/>
      <rgbColor rgb="FF99CCFF"/>
      <rgbColor rgb="FFFF99CC"/>
      <rgbColor rgb="FFCC99FF"/>
      <rgbColor rgb="FFFBE3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46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15" hidden="false" customHeight="true" outlineLevel="0" collapsed="false">
      <c r="A6" s="3" t="s">
        <v>3</v>
      </c>
    </row>
    <row r="7" customFormat="false" ht="15" hidden="false" customHeight="true" outlineLevel="0" collapsed="false">
      <c r="A7" s="3" t="s">
        <v>4</v>
      </c>
    </row>
    <row r="8" customFormat="false" ht="1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4" t="s">
        <v>6</v>
      </c>
    </row>
    <row r="11" customFormat="false" ht="15" hidden="false" customHeight="true" outlineLevel="0" collapsed="false">
      <c r="A11" s="3" t="s">
        <v>7</v>
      </c>
    </row>
    <row r="12" customFormat="false" ht="15" hidden="false" customHeight="true" outlineLevel="0" collapsed="false">
      <c r="A12" s="3"/>
    </row>
    <row r="13" customFormat="false" ht="15" hidden="false" customHeight="true" outlineLevel="0" collapsed="false">
      <c r="A13" s="4" t="s">
        <v>8</v>
      </c>
    </row>
    <row r="14" customFormat="false" ht="15" hidden="false" customHeight="true" outlineLevel="0" collapsed="false">
      <c r="A14" s="3" t="s">
        <v>9</v>
      </c>
    </row>
    <row r="15" customFormat="false" ht="15" hidden="false" customHeight="true" outlineLevel="0" collapsed="false">
      <c r="A15" s="3" t="s">
        <v>10</v>
      </c>
    </row>
    <row r="16" customFormat="false" ht="15" hidden="false" customHeight="true" outlineLevel="0" collapsed="false">
      <c r="A16" s="3" t="s">
        <v>11</v>
      </c>
    </row>
    <row r="17" customFormat="false" ht="15" hidden="false" customHeight="true" outlineLevel="0" collapsed="false">
      <c r="A17" s="3" t="s">
        <v>12</v>
      </c>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row>
    <row r="21" customFormat="false" ht="15" hidden="false" customHeight="true" outlineLevel="0" collapsed="false">
      <c r="A21" s="4" t="s">
        <v>15</v>
      </c>
    </row>
    <row r="22" customFormat="false" ht="15" hidden="false" customHeight="true" outlineLevel="0" collapsed="false">
      <c r="A22" s="3" t="s">
        <v>16</v>
      </c>
    </row>
    <row r="23" customFormat="false" ht="15" hidden="false" customHeight="true" outlineLevel="0" collapsed="false">
      <c r="A23"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4"/>
    <col collapsed="false" customWidth="true" hidden="false" outlineLevel="0" max="3" min="3" style="1" width="10"/>
    <col collapsed="false" customWidth="true" hidden="false" outlineLevel="0" max="4" min="4" style="1" width="15"/>
    <col collapsed="false" customWidth="true" hidden="false" outlineLevel="0" max="5" min="5" style="1" width="12"/>
    <col collapsed="false" customWidth="true" hidden="false" outlineLevel="0" max="6" min="6" style="1" width="18"/>
    <col collapsed="false" customWidth="true" hidden="false" outlineLevel="0" max="7" min="7" style="1" width="24"/>
    <col collapsed="false" customWidth="true" hidden="false" outlineLevel="0" max="9" min="8" style="1" width="8"/>
    <col collapsed="false" customWidth="true" hidden="false" outlineLevel="0" max="10" min="10" style="1" width="20"/>
    <col collapsed="false" customWidth="true" hidden="false" outlineLevel="0" max="11" min="11" style="1" width="16"/>
    <col collapsed="false" customWidth="true" hidden="false" outlineLevel="0" max="12" min="12" style="1" width="8"/>
    <col collapsed="false" customWidth="true" hidden="false" outlineLevel="0" max="13" min="13" style="1" width="14"/>
    <col collapsed="false" customWidth="true" hidden="false" outlineLevel="0" max="14" min="14" style="1" width="62"/>
    <col collapsed="false" customWidth="true" hidden="false" outlineLevel="0" max="15" min="15" style="1" width="58"/>
  </cols>
  <sheetData>
    <row r="1" customFormat="false" ht="34.5" hidden="false" customHeight="true" outlineLevel="0" collapsed="false">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row>
    <row r="2" customFormat="false" ht="42.75" hidden="false" customHeight="true" outlineLevel="0" collapsed="false">
      <c r="A2" s="6" t="s">
        <v>33</v>
      </c>
      <c r="B2" s="7" t="s">
        <v>34</v>
      </c>
      <c r="C2" s="8" t="n">
        <v>9769</v>
      </c>
      <c r="D2" s="6" t="s">
        <v>35</v>
      </c>
      <c r="E2" s="9" t="n">
        <v>0.7</v>
      </c>
      <c r="F2" s="7"/>
      <c r="G2" s="6" t="s">
        <v>36</v>
      </c>
      <c r="H2" s="6" t="s">
        <v>37</v>
      </c>
      <c r="I2" s="6" t="s">
        <v>38</v>
      </c>
      <c r="J2" s="6" t="s">
        <v>39</v>
      </c>
      <c r="K2" s="6" t="s">
        <v>40</v>
      </c>
      <c r="L2" s="6" t="s">
        <v>41</v>
      </c>
      <c r="M2" s="10" t="s">
        <v>42</v>
      </c>
      <c r="N2" s="11" t="s">
        <v>43</v>
      </c>
      <c r="O2" s="11" t="s">
        <v>44</v>
      </c>
    </row>
    <row r="3" customFormat="false" ht="21.75" hidden="false" customHeight="true" outlineLevel="0" collapsed="false">
      <c r="A3" s="6" t="s">
        <v>45</v>
      </c>
      <c r="B3" s="7" t="s">
        <v>46</v>
      </c>
      <c r="C3" s="8" t="n">
        <v>6362</v>
      </c>
      <c r="D3" s="6" t="s">
        <v>47</v>
      </c>
      <c r="E3" s="9" t="n">
        <v>0.7</v>
      </c>
      <c r="F3" s="7" t="s">
        <v>33</v>
      </c>
      <c r="G3" s="6" t="s">
        <v>48</v>
      </c>
      <c r="H3" s="6" t="s">
        <v>49</v>
      </c>
      <c r="I3" s="6" t="s">
        <v>50</v>
      </c>
      <c r="J3" s="6" t="s">
        <v>47</v>
      </c>
      <c r="K3" s="6" t="s">
        <v>45</v>
      </c>
      <c r="L3" s="6" t="s">
        <v>51</v>
      </c>
      <c r="M3" s="12" t="s">
        <v>52</v>
      </c>
      <c r="N3" s="11" t="s">
        <v>53</v>
      </c>
      <c r="O3" s="11" t="s">
        <v>54</v>
      </c>
    </row>
    <row r="4" customFormat="false" ht="15" hidden="false" customHeight="true" outlineLevel="0" collapsed="false">
      <c r="A4" s="6" t="s">
        <v>45</v>
      </c>
      <c r="B4" s="7" t="s">
        <v>55</v>
      </c>
      <c r="C4" s="8" t="n">
        <v>6085</v>
      </c>
      <c r="D4" s="6" t="s">
        <v>47</v>
      </c>
      <c r="E4" s="9" t="n">
        <v>0.7</v>
      </c>
      <c r="F4" s="7" t="s">
        <v>33</v>
      </c>
      <c r="G4" s="6" t="s">
        <v>48</v>
      </c>
      <c r="H4" s="6" t="s">
        <v>49</v>
      </c>
      <c r="I4" s="6" t="s">
        <v>50</v>
      </c>
      <c r="J4" s="6" t="s">
        <v>47</v>
      </c>
      <c r="K4" s="6" t="s">
        <v>45</v>
      </c>
      <c r="L4" s="6" t="s">
        <v>51</v>
      </c>
      <c r="M4" s="12" t="s">
        <v>52</v>
      </c>
      <c r="N4" s="11" t="s">
        <v>56</v>
      </c>
      <c r="O4" s="11" t="s">
        <v>57</v>
      </c>
    </row>
    <row r="5" customFormat="false" ht="15" hidden="false" customHeight="true" outlineLevel="0" collapsed="false">
      <c r="A5" s="6" t="s">
        <v>45</v>
      </c>
      <c r="B5" s="7" t="s">
        <v>58</v>
      </c>
      <c r="C5" s="8" t="n">
        <v>185</v>
      </c>
      <c r="D5" s="6" t="s">
        <v>47</v>
      </c>
      <c r="E5" s="9" t="n">
        <v>0.7</v>
      </c>
      <c r="F5" s="7" t="s">
        <v>33</v>
      </c>
      <c r="G5" s="6" t="s">
        <v>48</v>
      </c>
      <c r="H5" s="6" t="s">
        <v>49</v>
      </c>
      <c r="I5" s="6" t="s">
        <v>50</v>
      </c>
      <c r="J5" s="6" t="s">
        <v>47</v>
      </c>
      <c r="K5" s="6" t="s">
        <v>59</v>
      </c>
      <c r="L5" s="6" t="s">
        <v>41</v>
      </c>
      <c r="M5" s="10" t="s">
        <v>42</v>
      </c>
      <c r="N5" s="11" t="s">
        <v>60</v>
      </c>
      <c r="O5" s="11" t="s">
        <v>61</v>
      </c>
    </row>
    <row r="6" customFormat="false" ht="23.25" hidden="false" customHeight="true" outlineLevel="0" collapsed="false">
      <c r="A6" s="6" t="s">
        <v>45</v>
      </c>
      <c r="B6" s="7" t="s">
        <v>62</v>
      </c>
      <c r="C6" s="8" t="n">
        <v>124</v>
      </c>
      <c r="D6" s="6" t="s">
        <v>47</v>
      </c>
      <c r="E6" s="9" t="n">
        <v>0.4</v>
      </c>
      <c r="F6" s="7" t="s">
        <v>63</v>
      </c>
      <c r="G6" s="6" t="s">
        <v>48</v>
      </c>
      <c r="H6" s="6" t="s">
        <v>49</v>
      </c>
      <c r="I6" s="6" t="s">
        <v>50</v>
      </c>
      <c r="J6" s="6" t="s">
        <v>47</v>
      </c>
      <c r="K6" s="6" t="s">
        <v>64</v>
      </c>
      <c r="L6" s="6" t="s">
        <v>65</v>
      </c>
      <c r="M6" s="13" t="s">
        <v>66</v>
      </c>
      <c r="N6" s="11" t="s">
        <v>67</v>
      </c>
      <c r="O6" s="11" t="s">
        <v>68</v>
      </c>
    </row>
    <row r="7" customFormat="false" ht="21.75" hidden="false" customHeight="true" outlineLevel="0" collapsed="false">
      <c r="A7" s="6" t="s">
        <v>45</v>
      </c>
      <c r="B7" s="7" t="s">
        <v>69</v>
      </c>
      <c r="C7" s="8" t="n">
        <v>25</v>
      </c>
      <c r="D7" s="6" t="s">
        <v>47</v>
      </c>
      <c r="E7" s="9" t="n">
        <v>0.9</v>
      </c>
      <c r="F7" s="7" t="s">
        <v>33</v>
      </c>
      <c r="G7" s="6" t="s">
        <v>48</v>
      </c>
      <c r="H7" s="6" t="s">
        <v>49</v>
      </c>
      <c r="I7" s="6" t="s">
        <v>50</v>
      </c>
      <c r="J7" s="6" t="s">
        <v>47</v>
      </c>
      <c r="K7" s="6" t="s">
        <v>45</v>
      </c>
      <c r="L7" s="6" t="s">
        <v>70</v>
      </c>
      <c r="M7" s="12" t="s">
        <v>52</v>
      </c>
      <c r="N7" s="11" t="s">
        <v>71</v>
      </c>
      <c r="O7" s="11" t="s">
        <v>72</v>
      </c>
    </row>
    <row r="8" customFormat="false" ht="32.25" hidden="false" customHeight="true" outlineLevel="0" collapsed="false">
      <c r="A8" s="6" t="s">
        <v>73</v>
      </c>
      <c r="B8" s="7" t="s">
        <v>74</v>
      </c>
      <c r="C8" s="8" t="n">
        <v>5615</v>
      </c>
      <c r="D8" s="6" t="s">
        <v>35</v>
      </c>
      <c r="E8" s="9" t="n">
        <v>0.85</v>
      </c>
      <c r="F8" s="7"/>
      <c r="G8" s="6" t="s">
        <v>75</v>
      </c>
      <c r="H8" s="6" t="s">
        <v>37</v>
      </c>
      <c r="I8" s="6" t="s">
        <v>76</v>
      </c>
      <c r="J8" s="6" t="s">
        <v>77</v>
      </c>
      <c r="K8" s="6" t="s">
        <v>78</v>
      </c>
      <c r="L8" s="6" t="s">
        <v>51</v>
      </c>
      <c r="M8" s="13" t="s">
        <v>66</v>
      </c>
      <c r="N8" s="11" t="s">
        <v>79</v>
      </c>
      <c r="O8" s="11" t="s">
        <v>80</v>
      </c>
    </row>
    <row r="9" customFormat="false" ht="32.25" hidden="false" customHeight="true" outlineLevel="0" collapsed="false">
      <c r="A9" s="6" t="s">
        <v>73</v>
      </c>
      <c r="B9" s="7" t="s">
        <v>81</v>
      </c>
      <c r="C9" s="8" t="n">
        <v>1868</v>
      </c>
      <c r="D9" s="6" t="s">
        <v>35</v>
      </c>
      <c r="E9" s="9" t="n">
        <v>0.67</v>
      </c>
      <c r="F9" s="7" t="s">
        <v>82</v>
      </c>
      <c r="G9" s="6" t="s">
        <v>83</v>
      </c>
      <c r="H9" s="6" t="s">
        <v>37</v>
      </c>
      <c r="I9" s="6" t="s">
        <v>84</v>
      </c>
      <c r="J9" s="6" t="s">
        <v>39</v>
      </c>
      <c r="K9" s="6" t="s">
        <v>78</v>
      </c>
      <c r="L9" s="6" t="s">
        <v>65</v>
      </c>
      <c r="M9" s="13" t="s">
        <v>66</v>
      </c>
      <c r="N9" s="11" t="s">
        <v>85</v>
      </c>
      <c r="O9" s="11" t="s">
        <v>86</v>
      </c>
    </row>
    <row r="10" customFormat="false" ht="21.75" hidden="false" customHeight="true" outlineLevel="0" collapsed="false">
      <c r="A10" s="6" t="s">
        <v>73</v>
      </c>
      <c r="B10" s="7" t="s">
        <v>87</v>
      </c>
      <c r="C10" s="8" t="n">
        <v>1042</v>
      </c>
      <c r="D10" s="6" t="s">
        <v>47</v>
      </c>
      <c r="E10" s="9" t="n">
        <v>0.8</v>
      </c>
      <c r="F10" s="7" t="s">
        <v>88</v>
      </c>
      <c r="G10" s="6" t="s">
        <v>89</v>
      </c>
      <c r="H10" s="6" t="s">
        <v>49</v>
      </c>
      <c r="I10" s="6" t="s">
        <v>50</v>
      </c>
      <c r="J10" s="6" t="s">
        <v>47</v>
      </c>
      <c r="K10" s="6" t="s">
        <v>78</v>
      </c>
      <c r="L10" s="6" t="s">
        <v>51</v>
      </c>
      <c r="M10" s="12" t="s">
        <v>52</v>
      </c>
      <c r="N10" s="11" t="s">
        <v>90</v>
      </c>
      <c r="O10" s="11" t="s">
        <v>91</v>
      </c>
    </row>
    <row r="11" customFormat="false" ht="21.75" hidden="false" customHeight="true" outlineLevel="0" collapsed="false">
      <c r="A11" s="6" t="s">
        <v>73</v>
      </c>
      <c r="B11" s="7" t="s">
        <v>92</v>
      </c>
      <c r="C11" s="8" t="n">
        <v>883</v>
      </c>
      <c r="D11" s="6" t="s">
        <v>35</v>
      </c>
      <c r="E11" s="9" t="n">
        <v>0.75</v>
      </c>
      <c r="F11" s="7"/>
      <c r="G11" s="6" t="s">
        <v>93</v>
      </c>
      <c r="H11" s="6" t="s">
        <v>37</v>
      </c>
      <c r="I11" s="6" t="s">
        <v>94</v>
      </c>
      <c r="J11" s="6" t="s">
        <v>77</v>
      </c>
      <c r="K11" s="6" t="s">
        <v>78</v>
      </c>
      <c r="L11" s="6" t="s">
        <v>51</v>
      </c>
      <c r="M11" s="13" t="s">
        <v>66</v>
      </c>
      <c r="N11" s="11" t="s">
        <v>95</v>
      </c>
      <c r="O11" s="11" t="s">
        <v>96</v>
      </c>
    </row>
    <row r="12" customFormat="false" ht="15" hidden="false" customHeight="true" outlineLevel="0" collapsed="false">
      <c r="A12" s="6" t="s">
        <v>73</v>
      </c>
      <c r="B12" s="7" t="s">
        <v>97</v>
      </c>
      <c r="C12" s="8" t="n">
        <v>738</v>
      </c>
      <c r="D12" s="6" t="s">
        <v>35</v>
      </c>
      <c r="E12" s="9" t="n">
        <v>1</v>
      </c>
      <c r="F12" s="7"/>
      <c r="G12" s="6" t="s">
        <v>98</v>
      </c>
      <c r="H12" s="6" t="s">
        <v>37</v>
      </c>
      <c r="I12" s="6" t="s">
        <v>50</v>
      </c>
      <c r="J12" s="6" t="s">
        <v>77</v>
      </c>
      <c r="K12" s="6" t="s">
        <v>78</v>
      </c>
      <c r="L12" s="6" t="s">
        <v>70</v>
      </c>
      <c r="M12" s="13" t="s">
        <v>66</v>
      </c>
      <c r="N12" s="11" t="s">
        <v>99</v>
      </c>
      <c r="O12" s="11" t="s">
        <v>100</v>
      </c>
    </row>
    <row r="13" customFormat="false" ht="23.25" hidden="false" customHeight="true" outlineLevel="0" collapsed="false">
      <c r="A13" s="6" t="s">
        <v>73</v>
      </c>
      <c r="B13" s="7" t="s">
        <v>101</v>
      </c>
      <c r="C13" s="8" t="n">
        <v>650</v>
      </c>
      <c r="D13" s="6" t="s">
        <v>35</v>
      </c>
      <c r="E13" s="9" t="n">
        <v>0.8</v>
      </c>
      <c r="F13" s="7"/>
      <c r="G13" s="6" t="s">
        <v>102</v>
      </c>
      <c r="H13" s="6" t="s">
        <v>37</v>
      </c>
      <c r="I13" s="6" t="s">
        <v>103</v>
      </c>
      <c r="J13" s="6" t="s">
        <v>39</v>
      </c>
      <c r="K13" s="6" t="s">
        <v>78</v>
      </c>
      <c r="L13" s="6" t="s">
        <v>70</v>
      </c>
      <c r="M13" s="13" t="s">
        <v>66</v>
      </c>
      <c r="N13" s="11" t="s">
        <v>104</v>
      </c>
      <c r="O13" s="11" t="s">
        <v>105</v>
      </c>
    </row>
    <row r="14" customFormat="false" ht="23.25" hidden="false" customHeight="true" outlineLevel="0" collapsed="false">
      <c r="A14" s="6" t="s">
        <v>73</v>
      </c>
      <c r="B14" s="7" t="s">
        <v>106</v>
      </c>
      <c r="C14" s="8" t="n">
        <v>316</v>
      </c>
      <c r="D14" s="6" t="s">
        <v>35</v>
      </c>
      <c r="E14" s="9" t="n">
        <v>0.85</v>
      </c>
      <c r="F14" s="7"/>
      <c r="G14" s="6" t="s">
        <v>107</v>
      </c>
      <c r="H14" s="6" t="s">
        <v>37</v>
      </c>
      <c r="I14" s="6" t="s">
        <v>108</v>
      </c>
      <c r="J14" s="6" t="s">
        <v>39</v>
      </c>
      <c r="K14" s="6" t="s">
        <v>78</v>
      </c>
      <c r="L14" s="6" t="s">
        <v>70</v>
      </c>
      <c r="M14" s="13" t="s">
        <v>66</v>
      </c>
      <c r="N14" s="11" t="s">
        <v>109</v>
      </c>
      <c r="O14" s="11" t="s">
        <v>110</v>
      </c>
    </row>
    <row r="15" customFormat="false" ht="21.75" hidden="false" customHeight="true" outlineLevel="0" collapsed="false">
      <c r="A15" s="6" t="s">
        <v>73</v>
      </c>
      <c r="B15" s="7" t="s">
        <v>111</v>
      </c>
      <c r="C15" s="8" t="n">
        <v>163</v>
      </c>
      <c r="D15" s="6" t="s">
        <v>112</v>
      </c>
      <c r="E15" s="9" t="n">
        <v>0.1</v>
      </c>
      <c r="F15" s="7"/>
      <c r="G15" s="6" t="s">
        <v>41</v>
      </c>
      <c r="H15" s="6" t="s">
        <v>41</v>
      </c>
      <c r="I15" s="6" t="s">
        <v>41</v>
      </c>
      <c r="J15" s="6" t="s">
        <v>113</v>
      </c>
      <c r="K15" s="6" t="s">
        <v>78</v>
      </c>
      <c r="L15" s="6" t="s">
        <v>51</v>
      </c>
      <c r="M15" s="12" t="s">
        <v>52</v>
      </c>
      <c r="N15" s="11" t="s">
        <v>114</v>
      </c>
      <c r="O15" s="11" t="s">
        <v>115</v>
      </c>
    </row>
    <row r="16" customFormat="false" ht="23.25" hidden="false" customHeight="true" outlineLevel="0" collapsed="false">
      <c r="A16" s="6" t="s">
        <v>73</v>
      </c>
      <c r="B16" s="7" t="s">
        <v>116</v>
      </c>
      <c r="C16" s="8" t="n">
        <v>7</v>
      </c>
      <c r="D16" s="6" t="s">
        <v>35</v>
      </c>
      <c r="E16" s="9" t="n">
        <v>1</v>
      </c>
      <c r="F16" s="7" t="s">
        <v>117</v>
      </c>
      <c r="G16" s="6" t="s">
        <v>118</v>
      </c>
      <c r="H16" s="6" t="s">
        <v>37</v>
      </c>
      <c r="I16" s="6" t="s">
        <v>50</v>
      </c>
      <c r="J16" s="6" t="s">
        <v>119</v>
      </c>
      <c r="K16" s="6" t="s">
        <v>64</v>
      </c>
      <c r="L16" s="6" t="s">
        <v>70</v>
      </c>
      <c r="M16" s="13" t="s">
        <v>66</v>
      </c>
      <c r="N16" s="11" t="s">
        <v>120</v>
      </c>
      <c r="O16" s="11" t="s">
        <v>121</v>
      </c>
    </row>
    <row r="17" customFormat="false" ht="15" hidden="false" customHeight="true" outlineLevel="0" collapsed="false">
      <c r="A17" s="6" t="s">
        <v>73</v>
      </c>
      <c r="B17" s="7" t="s">
        <v>122</v>
      </c>
      <c r="C17" s="8" t="n">
        <v>1</v>
      </c>
      <c r="D17" s="6" t="s">
        <v>123</v>
      </c>
      <c r="E17" s="9" t="n">
        <v>0</v>
      </c>
      <c r="F17" s="7"/>
      <c r="G17" s="6" t="s">
        <v>41</v>
      </c>
      <c r="H17" s="6" t="s">
        <v>41</v>
      </c>
      <c r="I17" s="6" t="s">
        <v>41</v>
      </c>
      <c r="J17" s="6" t="s">
        <v>113</v>
      </c>
      <c r="K17" s="6" t="s">
        <v>41</v>
      </c>
      <c r="L17" s="6" t="s">
        <v>41</v>
      </c>
      <c r="M17" s="14" t="s">
        <v>124</v>
      </c>
      <c r="N17" s="11" t="s">
        <v>125</v>
      </c>
      <c r="O17" s="11" t="s">
        <v>126</v>
      </c>
    </row>
    <row r="18" customFormat="false" ht="21.75" hidden="false" customHeight="true" outlineLevel="0" collapsed="false">
      <c r="A18" s="6" t="s">
        <v>127</v>
      </c>
      <c r="B18" s="7" t="s">
        <v>128</v>
      </c>
      <c r="C18" s="8" t="n">
        <v>2807</v>
      </c>
      <c r="D18" s="6" t="s">
        <v>35</v>
      </c>
      <c r="E18" s="9" t="n">
        <v>0.25</v>
      </c>
      <c r="F18" s="7"/>
      <c r="G18" s="6" t="s">
        <v>129</v>
      </c>
      <c r="H18" s="6" t="s">
        <v>37</v>
      </c>
      <c r="I18" s="6" t="s">
        <v>108</v>
      </c>
      <c r="J18" s="6" t="s">
        <v>39</v>
      </c>
      <c r="K18" s="6" t="s">
        <v>130</v>
      </c>
      <c r="L18" s="6" t="s">
        <v>41</v>
      </c>
      <c r="M18" s="10" t="s">
        <v>42</v>
      </c>
      <c r="N18" s="11" t="s">
        <v>131</v>
      </c>
      <c r="O18" s="11" t="s">
        <v>132</v>
      </c>
    </row>
    <row r="19" customFormat="false" ht="23.25" hidden="false" customHeight="true" outlineLevel="0" collapsed="false">
      <c r="A19" s="6" t="s">
        <v>127</v>
      </c>
      <c r="B19" s="7" t="s">
        <v>133</v>
      </c>
      <c r="C19" s="8" t="n">
        <v>2306</v>
      </c>
      <c r="D19" s="6" t="s">
        <v>35</v>
      </c>
      <c r="E19" s="9" t="n">
        <v>0.45</v>
      </c>
      <c r="F19" s="7"/>
      <c r="G19" s="6" t="s">
        <v>134</v>
      </c>
      <c r="H19" s="6" t="s">
        <v>37</v>
      </c>
      <c r="I19" s="6" t="s">
        <v>135</v>
      </c>
      <c r="J19" s="6" t="s">
        <v>77</v>
      </c>
      <c r="K19" s="6" t="s">
        <v>130</v>
      </c>
      <c r="L19" s="6" t="s">
        <v>41</v>
      </c>
      <c r="M19" s="10" t="s">
        <v>42</v>
      </c>
      <c r="N19" s="11" t="s">
        <v>136</v>
      </c>
      <c r="O19" s="11" t="s">
        <v>137</v>
      </c>
    </row>
    <row r="20" customFormat="false" ht="15" hidden="false" customHeight="true" outlineLevel="0" collapsed="false">
      <c r="A20" s="6" t="s">
        <v>127</v>
      </c>
      <c r="B20" s="7" t="s">
        <v>138</v>
      </c>
      <c r="C20" s="8" t="n">
        <v>873</v>
      </c>
      <c r="D20" s="6" t="s">
        <v>35</v>
      </c>
      <c r="E20" s="9" t="n">
        <v>0.15</v>
      </c>
      <c r="F20" s="7"/>
      <c r="G20" s="6" t="s">
        <v>139</v>
      </c>
      <c r="H20" s="6" t="s">
        <v>37</v>
      </c>
      <c r="I20" s="6" t="s">
        <v>135</v>
      </c>
      <c r="J20" s="6" t="s">
        <v>39</v>
      </c>
      <c r="K20" s="6" t="s">
        <v>130</v>
      </c>
      <c r="L20" s="6" t="s">
        <v>41</v>
      </c>
      <c r="M20" s="10" t="s">
        <v>42</v>
      </c>
      <c r="N20" s="11" t="s">
        <v>140</v>
      </c>
      <c r="O20" s="11" t="s">
        <v>141</v>
      </c>
    </row>
    <row r="21" customFormat="false" ht="15" hidden="false" customHeight="true" outlineLevel="0" collapsed="false">
      <c r="A21" s="6" t="s">
        <v>127</v>
      </c>
      <c r="B21" s="7" t="s">
        <v>142</v>
      </c>
      <c r="C21" s="8" t="n">
        <v>638</v>
      </c>
      <c r="D21" s="6" t="s">
        <v>123</v>
      </c>
      <c r="E21" s="9" t="n">
        <v>0</v>
      </c>
      <c r="F21" s="7"/>
      <c r="G21" s="6" t="s">
        <v>41</v>
      </c>
      <c r="H21" s="6" t="s">
        <v>41</v>
      </c>
      <c r="I21" s="6" t="s">
        <v>41</v>
      </c>
      <c r="J21" s="6" t="s">
        <v>113</v>
      </c>
      <c r="K21" s="6" t="s">
        <v>41</v>
      </c>
      <c r="L21" s="6" t="s">
        <v>41</v>
      </c>
      <c r="M21" s="14" t="s">
        <v>124</v>
      </c>
      <c r="N21" s="11" t="s">
        <v>143</v>
      </c>
      <c r="O21" s="11" t="s">
        <v>144</v>
      </c>
    </row>
    <row r="22" customFormat="false" ht="15" hidden="false" customHeight="true" outlineLevel="0" collapsed="false">
      <c r="A22" s="6" t="s">
        <v>127</v>
      </c>
      <c r="B22" s="7" t="s">
        <v>145</v>
      </c>
      <c r="C22" s="8" t="n">
        <v>549</v>
      </c>
      <c r="D22" s="6" t="s">
        <v>123</v>
      </c>
      <c r="E22" s="9" t="n">
        <v>0</v>
      </c>
      <c r="F22" s="7"/>
      <c r="G22" s="6" t="s">
        <v>41</v>
      </c>
      <c r="H22" s="6" t="s">
        <v>41</v>
      </c>
      <c r="I22" s="6" t="s">
        <v>41</v>
      </c>
      <c r="J22" s="6" t="s">
        <v>113</v>
      </c>
      <c r="K22" s="6" t="s">
        <v>41</v>
      </c>
      <c r="L22" s="6" t="s">
        <v>41</v>
      </c>
      <c r="M22" s="14" t="s">
        <v>124</v>
      </c>
      <c r="N22" s="11" t="s">
        <v>143</v>
      </c>
      <c r="O22" s="11" t="s">
        <v>144</v>
      </c>
    </row>
    <row r="23" customFormat="false" ht="15" hidden="false" customHeight="true" outlineLevel="0" collapsed="false">
      <c r="A23" s="6" t="s">
        <v>127</v>
      </c>
      <c r="B23" s="7" t="s">
        <v>146</v>
      </c>
      <c r="C23" s="8" t="n">
        <v>514</v>
      </c>
      <c r="D23" s="6" t="s">
        <v>123</v>
      </c>
      <c r="E23" s="9" t="n">
        <v>0</v>
      </c>
      <c r="F23" s="7" t="s">
        <v>147</v>
      </c>
      <c r="G23" s="6" t="s">
        <v>41</v>
      </c>
      <c r="H23" s="6" t="s">
        <v>41</v>
      </c>
      <c r="I23" s="6" t="s">
        <v>41</v>
      </c>
      <c r="J23" s="6" t="s">
        <v>113</v>
      </c>
      <c r="K23" s="6" t="s">
        <v>41</v>
      </c>
      <c r="L23" s="6" t="s">
        <v>41</v>
      </c>
      <c r="M23" s="14" t="s">
        <v>124</v>
      </c>
      <c r="N23" s="11" t="s">
        <v>148</v>
      </c>
      <c r="O23" s="11" t="s">
        <v>149</v>
      </c>
    </row>
    <row r="24" customFormat="false" ht="15" hidden="false" customHeight="true" outlineLevel="0" collapsed="false">
      <c r="A24" s="6" t="s">
        <v>127</v>
      </c>
      <c r="B24" s="7" t="s">
        <v>150</v>
      </c>
      <c r="C24" s="8" t="n">
        <v>389</v>
      </c>
      <c r="D24" s="6" t="s">
        <v>123</v>
      </c>
      <c r="E24" s="9" t="n">
        <v>0</v>
      </c>
      <c r="F24" s="7"/>
      <c r="G24" s="6" t="s">
        <v>41</v>
      </c>
      <c r="H24" s="6" t="s">
        <v>41</v>
      </c>
      <c r="I24" s="6" t="s">
        <v>41</v>
      </c>
      <c r="J24" s="6" t="s">
        <v>113</v>
      </c>
      <c r="K24" s="6" t="s">
        <v>41</v>
      </c>
      <c r="L24" s="6" t="s">
        <v>41</v>
      </c>
      <c r="M24" s="14" t="s">
        <v>124</v>
      </c>
      <c r="N24" s="11" t="s">
        <v>151</v>
      </c>
      <c r="O24" s="11" t="s">
        <v>144</v>
      </c>
    </row>
    <row r="25" customFormat="false" ht="15" hidden="false" customHeight="true" outlineLevel="0" collapsed="false">
      <c r="A25" s="6" t="s">
        <v>127</v>
      </c>
      <c r="B25" s="7" t="s">
        <v>152</v>
      </c>
      <c r="C25" s="8" t="n">
        <v>158</v>
      </c>
      <c r="D25" s="6" t="s">
        <v>123</v>
      </c>
      <c r="E25" s="9" t="n">
        <v>0</v>
      </c>
      <c r="F25" s="7"/>
      <c r="G25" s="6" t="s">
        <v>41</v>
      </c>
      <c r="H25" s="6" t="s">
        <v>41</v>
      </c>
      <c r="I25" s="6" t="s">
        <v>41</v>
      </c>
      <c r="J25" s="6" t="s">
        <v>113</v>
      </c>
      <c r="K25" s="6" t="s">
        <v>41</v>
      </c>
      <c r="L25" s="6" t="s">
        <v>41</v>
      </c>
      <c r="M25" s="14" t="s">
        <v>124</v>
      </c>
      <c r="N25" s="11" t="s">
        <v>151</v>
      </c>
      <c r="O25" s="11" t="s">
        <v>144</v>
      </c>
    </row>
    <row r="26" customFormat="false" ht="23.25" hidden="false" customHeight="true" outlineLevel="0" collapsed="false">
      <c r="A26" s="6" t="s">
        <v>127</v>
      </c>
      <c r="B26" s="7" t="s">
        <v>153</v>
      </c>
      <c r="C26" s="8" t="n">
        <v>78</v>
      </c>
      <c r="D26" s="6" t="s">
        <v>123</v>
      </c>
      <c r="E26" s="9" t="n">
        <v>0</v>
      </c>
      <c r="F26" s="7"/>
      <c r="G26" s="6" t="s">
        <v>41</v>
      </c>
      <c r="H26" s="6" t="s">
        <v>41</v>
      </c>
      <c r="I26" s="6" t="s">
        <v>41</v>
      </c>
      <c r="J26" s="6" t="s">
        <v>113</v>
      </c>
      <c r="K26" s="6" t="s">
        <v>41</v>
      </c>
      <c r="L26" s="6" t="s">
        <v>41</v>
      </c>
      <c r="M26" s="14" t="s">
        <v>124</v>
      </c>
      <c r="N26" s="11" t="s">
        <v>151</v>
      </c>
      <c r="O26" s="11" t="s">
        <v>144</v>
      </c>
    </row>
    <row r="27" customFormat="false" ht="15" hidden="false" customHeight="true" outlineLevel="0" collapsed="false">
      <c r="A27" s="6" t="s">
        <v>127</v>
      </c>
      <c r="B27" s="7" t="s">
        <v>154</v>
      </c>
      <c r="C27" s="8" t="n">
        <v>6</v>
      </c>
      <c r="D27" s="6" t="s">
        <v>123</v>
      </c>
      <c r="E27" s="9" t="n">
        <v>0</v>
      </c>
      <c r="F27" s="7"/>
      <c r="G27" s="6" t="s">
        <v>41</v>
      </c>
      <c r="H27" s="6" t="s">
        <v>41</v>
      </c>
      <c r="I27" s="6" t="s">
        <v>41</v>
      </c>
      <c r="J27" s="6" t="s">
        <v>113</v>
      </c>
      <c r="K27" s="6" t="s">
        <v>41</v>
      </c>
      <c r="L27" s="6" t="s">
        <v>41</v>
      </c>
      <c r="M27" s="14" t="s">
        <v>124</v>
      </c>
      <c r="N27" s="11" t="s">
        <v>151</v>
      </c>
      <c r="O27" s="11" t="s">
        <v>144</v>
      </c>
    </row>
    <row r="28" customFormat="false" ht="23.25" hidden="false" customHeight="true" outlineLevel="0" collapsed="false">
      <c r="A28" s="6" t="s">
        <v>155</v>
      </c>
      <c r="B28" s="7" t="s">
        <v>156</v>
      </c>
      <c r="C28" s="8" t="n">
        <v>4640</v>
      </c>
      <c r="D28" s="6" t="s">
        <v>35</v>
      </c>
      <c r="E28" s="9" t="n">
        <v>0.6</v>
      </c>
      <c r="F28" s="7" t="s">
        <v>157</v>
      </c>
      <c r="G28" s="6" t="s">
        <v>158</v>
      </c>
      <c r="H28" s="6" t="s">
        <v>37</v>
      </c>
      <c r="I28" s="6" t="s">
        <v>135</v>
      </c>
      <c r="J28" s="6" t="s">
        <v>77</v>
      </c>
      <c r="K28" s="6" t="s">
        <v>159</v>
      </c>
      <c r="L28" s="6" t="s">
        <v>41</v>
      </c>
      <c r="M28" s="10" t="s">
        <v>42</v>
      </c>
      <c r="N28" s="11" t="s">
        <v>160</v>
      </c>
      <c r="O28" s="11" t="s">
        <v>161</v>
      </c>
    </row>
    <row r="29" customFormat="false" ht="32.25" hidden="false" customHeight="true" outlineLevel="0" collapsed="false">
      <c r="A29" s="6" t="s">
        <v>155</v>
      </c>
      <c r="B29" s="7" t="s">
        <v>162</v>
      </c>
      <c r="C29" s="8" t="n">
        <v>2635</v>
      </c>
      <c r="D29" s="6" t="s">
        <v>35</v>
      </c>
      <c r="E29" s="9" t="n">
        <v>0.45</v>
      </c>
      <c r="F29" s="7"/>
      <c r="G29" s="6" t="s">
        <v>163</v>
      </c>
      <c r="H29" s="6" t="s">
        <v>37</v>
      </c>
      <c r="I29" s="6" t="s">
        <v>108</v>
      </c>
      <c r="J29" s="6" t="s">
        <v>39</v>
      </c>
      <c r="K29" s="6" t="s">
        <v>64</v>
      </c>
      <c r="L29" s="6" t="s">
        <v>164</v>
      </c>
      <c r="M29" s="13" t="s">
        <v>66</v>
      </c>
      <c r="N29" s="11" t="s">
        <v>165</v>
      </c>
      <c r="O29" s="11" t="s">
        <v>166</v>
      </c>
    </row>
    <row r="30" customFormat="false" ht="23.25" hidden="false" customHeight="true" outlineLevel="0" collapsed="false">
      <c r="A30" s="6" t="s">
        <v>155</v>
      </c>
      <c r="B30" s="7" t="s">
        <v>167</v>
      </c>
      <c r="C30" s="8" t="n">
        <v>1771</v>
      </c>
      <c r="D30" s="6" t="s">
        <v>35</v>
      </c>
      <c r="E30" s="9" t="n">
        <v>0.25</v>
      </c>
      <c r="F30" s="7"/>
      <c r="G30" s="6" t="s">
        <v>168</v>
      </c>
      <c r="H30" s="6" t="s">
        <v>37</v>
      </c>
      <c r="I30" s="6" t="s">
        <v>50</v>
      </c>
      <c r="J30" s="6" t="s">
        <v>39</v>
      </c>
      <c r="K30" s="6" t="s">
        <v>64</v>
      </c>
      <c r="L30" s="6" t="s">
        <v>70</v>
      </c>
      <c r="M30" s="13" t="s">
        <v>66</v>
      </c>
      <c r="N30" s="11" t="s">
        <v>85</v>
      </c>
      <c r="O30" s="11" t="s">
        <v>169</v>
      </c>
    </row>
    <row r="31" customFormat="false" ht="21.75" hidden="false" customHeight="true" outlineLevel="0" collapsed="false">
      <c r="A31" s="6" t="s">
        <v>155</v>
      </c>
      <c r="B31" s="7" t="s">
        <v>170</v>
      </c>
      <c r="C31" s="8" t="n">
        <v>600</v>
      </c>
      <c r="D31" s="6" t="s">
        <v>123</v>
      </c>
      <c r="E31" s="9" t="n">
        <v>0</v>
      </c>
      <c r="F31" s="7"/>
      <c r="G31" s="6" t="s">
        <v>41</v>
      </c>
      <c r="H31" s="6" t="s">
        <v>41</v>
      </c>
      <c r="I31" s="6" t="s">
        <v>41</v>
      </c>
      <c r="J31" s="6" t="s">
        <v>113</v>
      </c>
      <c r="K31" s="6" t="s">
        <v>41</v>
      </c>
      <c r="L31" s="6" t="s">
        <v>41</v>
      </c>
      <c r="M31" s="14" t="s">
        <v>124</v>
      </c>
      <c r="N31" s="11" t="s">
        <v>171</v>
      </c>
      <c r="O31" s="11" t="s">
        <v>172</v>
      </c>
    </row>
    <row r="32" customFormat="false" ht="15" hidden="false" customHeight="true" outlineLevel="0" collapsed="false">
      <c r="A32" s="6" t="s">
        <v>155</v>
      </c>
      <c r="B32" s="7" t="s">
        <v>173</v>
      </c>
      <c r="C32" s="8" t="n">
        <v>394</v>
      </c>
      <c r="D32" s="6" t="s">
        <v>35</v>
      </c>
      <c r="E32" s="9" t="n">
        <v>0.05</v>
      </c>
      <c r="F32" s="7"/>
      <c r="G32" s="6" t="s">
        <v>174</v>
      </c>
      <c r="H32" s="6" t="s">
        <v>37</v>
      </c>
      <c r="I32" s="6" t="s">
        <v>50</v>
      </c>
      <c r="J32" s="6" t="s">
        <v>39</v>
      </c>
      <c r="K32" s="6" t="s">
        <v>64</v>
      </c>
      <c r="L32" s="6" t="s">
        <v>70</v>
      </c>
      <c r="M32" s="13" t="s">
        <v>66</v>
      </c>
      <c r="N32" s="11" t="s">
        <v>175</v>
      </c>
      <c r="O32" s="11" t="s">
        <v>176</v>
      </c>
    </row>
    <row r="33" customFormat="false" ht="21.75" hidden="false" customHeight="true" outlineLevel="0" collapsed="false">
      <c r="A33" s="6" t="s">
        <v>155</v>
      </c>
      <c r="B33" s="7" t="s">
        <v>116</v>
      </c>
      <c r="C33" s="8" t="n">
        <v>128</v>
      </c>
      <c r="D33" s="6" t="s">
        <v>35</v>
      </c>
      <c r="E33" s="9" t="n">
        <v>1</v>
      </c>
      <c r="F33" s="7"/>
      <c r="G33" s="6" t="s">
        <v>118</v>
      </c>
      <c r="H33" s="6" t="s">
        <v>37</v>
      </c>
      <c r="I33" s="6" t="s">
        <v>50</v>
      </c>
      <c r="J33" s="6" t="s">
        <v>39</v>
      </c>
      <c r="K33" s="6" t="s">
        <v>64</v>
      </c>
      <c r="L33" s="6" t="s">
        <v>70</v>
      </c>
      <c r="M33" s="13" t="s">
        <v>66</v>
      </c>
      <c r="N33" s="11" t="s">
        <v>120</v>
      </c>
      <c r="O33" s="11" t="s">
        <v>121</v>
      </c>
    </row>
    <row r="34" customFormat="false" ht="15" hidden="false" customHeight="true" outlineLevel="0" collapsed="false">
      <c r="A34" s="6" t="s">
        <v>155</v>
      </c>
      <c r="B34" s="7" t="s">
        <v>177</v>
      </c>
      <c r="C34" s="8" t="n">
        <v>48</v>
      </c>
      <c r="D34" s="6" t="s">
        <v>35</v>
      </c>
      <c r="E34" s="9" t="n">
        <v>0.9</v>
      </c>
      <c r="F34" s="7"/>
      <c r="G34" s="6" t="s">
        <v>178</v>
      </c>
      <c r="H34" s="6" t="s">
        <v>37</v>
      </c>
      <c r="I34" s="6" t="s">
        <v>50</v>
      </c>
      <c r="J34" s="6" t="s">
        <v>39</v>
      </c>
      <c r="K34" s="6" t="s">
        <v>41</v>
      </c>
      <c r="L34" s="6" t="s">
        <v>41</v>
      </c>
      <c r="M34" s="10" t="s">
        <v>42</v>
      </c>
      <c r="N34" s="11" t="s">
        <v>179</v>
      </c>
      <c r="O34" s="11" t="s">
        <v>180</v>
      </c>
    </row>
    <row r="35" customFormat="false" ht="21.75" hidden="false" customHeight="true" outlineLevel="0" collapsed="false">
      <c r="A35" s="6" t="s">
        <v>155</v>
      </c>
      <c r="B35" s="7" t="s">
        <v>181</v>
      </c>
      <c r="C35" s="8" t="n">
        <v>32</v>
      </c>
      <c r="D35" s="6" t="s">
        <v>35</v>
      </c>
      <c r="E35" s="9" t="n">
        <v>0.85</v>
      </c>
      <c r="F35" s="7" t="s">
        <v>182</v>
      </c>
      <c r="G35" s="6" t="s">
        <v>41</v>
      </c>
      <c r="H35" s="6" t="s">
        <v>41</v>
      </c>
      <c r="I35" s="6" t="s">
        <v>41</v>
      </c>
      <c r="J35" s="6" t="s">
        <v>113</v>
      </c>
      <c r="K35" s="6" t="s">
        <v>64</v>
      </c>
      <c r="L35" s="6" t="s">
        <v>51</v>
      </c>
      <c r="M35" s="13" t="s">
        <v>66</v>
      </c>
      <c r="N35" s="11" t="s">
        <v>175</v>
      </c>
      <c r="O35" s="11" t="s">
        <v>183</v>
      </c>
    </row>
    <row r="36" customFormat="false" ht="21.75" hidden="false" customHeight="true" outlineLevel="0" collapsed="false">
      <c r="A36" s="6" t="s">
        <v>155</v>
      </c>
      <c r="B36" s="7" t="s">
        <v>74</v>
      </c>
      <c r="C36" s="8" t="n">
        <v>5</v>
      </c>
      <c r="D36" s="6" t="s">
        <v>35</v>
      </c>
      <c r="E36" s="9" t="n">
        <v>0.85</v>
      </c>
      <c r="F36" s="7" t="s">
        <v>184</v>
      </c>
      <c r="G36" s="6" t="s">
        <v>75</v>
      </c>
      <c r="H36" s="6" t="s">
        <v>37</v>
      </c>
      <c r="I36" s="6" t="s">
        <v>76</v>
      </c>
      <c r="J36" s="6" t="s">
        <v>119</v>
      </c>
      <c r="K36" s="6" t="s">
        <v>78</v>
      </c>
      <c r="L36" s="6" t="s">
        <v>51</v>
      </c>
      <c r="M36" s="13" t="s">
        <v>66</v>
      </c>
      <c r="N36" s="11" t="s">
        <v>79</v>
      </c>
      <c r="O36" s="11" t="s">
        <v>185</v>
      </c>
    </row>
    <row r="37" customFormat="false" ht="15" hidden="false" customHeight="true" outlineLevel="0" collapsed="false">
      <c r="A37" s="6" t="s">
        <v>155</v>
      </c>
      <c r="B37" s="7" t="s">
        <v>186</v>
      </c>
      <c r="C37" s="8" t="n">
        <v>3</v>
      </c>
      <c r="D37" s="6" t="s">
        <v>35</v>
      </c>
      <c r="E37" s="9" t="n">
        <v>0.5</v>
      </c>
      <c r="F37" s="7" t="s">
        <v>187</v>
      </c>
      <c r="G37" s="6" t="s">
        <v>41</v>
      </c>
      <c r="H37" s="6" t="s">
        <v>41</v>
      </c>
      <c r="I37" s="6" t="s">
        <v>41</v>
      </c>
      <c r="J37" s="6" t="s">
        <v>119</v>
      </c>
      <c r="K37" s="6" t="s">
        <v>41</v>
      </c>
      <c r="L37" s="6" t="s">
        <v>41</v>
      </c>
      <c r="M37" s="14" t="s">
        <v>124</v>
      </c>
      <c r="N37" s="11" t="s">
        <v>188</v>
      </c>
      <c r="O37" s="11" t="s">
        <v>189</v>
      </c>
    </row>
    <row r="38" customFormat="false" ht="15" hidden="false" customHeight="true" outlineLevel="0" collapsed="false">
      <c r="A38" s="6" t="s">
        <v>155</v>
      </c>
      <c r="B38" s="7" t="s">
        <v>58</v>
      </c>
      <c r="C38" s="8" t="n">
        <v>1</v>
      </c>
      <c r="D38" s="6" t="s">
        <v>47</v>
      </c>
      <c r="E38" s="9" t="n">
        <v>0.7</v>
      </c>
      <c r="F38" s="7" t="s">
        <v>33</v>
      </c>
      <c r="G38" s="6" t="s">
        <v>48</v>
      </c>
      <c r="H38" s="6" t="s">
        <v>49</v>
      </c>
      <c r="I38" s="6" t="s">
        <v>50</v>
      </c>
      <c r="J38" s="6" t="s">
        <v>119</v>
      </c>
      <c r="K38" s="6" t="s">
        <v>59</v>
      </c>
      <c r="L38" s="6" t="s">
        <v>41</v>
      </c>
      <c r="M38" s="10" t="s">
        <v>42</v>
      </c>
      <c r="N38" s="11" t="s">
        <v>60</v>
      </c>
      <c r="O38" s="11" t="s">
        <v>190</v>
      </c>
    </row>
    <row r="39" customFormat="false" ht="21.75" hidden="false" customHeight="true" outlineLevel="0" collapsed="false">
      <c r="A39" s="6" t="s">
        <v>191</v>
      </c>
      <c r="B39" s="7" t="s">
        <v>192</v>
      </c>
      <c r="C39" s="8" t="n">
        <v>1438</v>
      </c>
      <c r="D39" s="6" t="s">
        <v>193</v>
      </c>
      <c r="E39" s="9" t="n">
        <v>0.8</v>
      </c>
      <c r="F39" s="7"/>
      <c r="G39" s="6" t="s">
        <v>41</v>
      </c>
      <c r="H39" s="6" t="s">
        <v>41</v>
      </c>
      <c r="I39" s="6" t="s">
        <v>41</v>
      </c>
      <c r="J39" s="6" t="s">
        <v>113</v>
      </c>
      <c r="K39" s="6" t="s">
        <v>194</v>
      </c>
      <c r="L39" s="6" t="s">
        <v>70</v>
      </c>
      <c r="M39" s="15" t="s">
        <v>195</v>
      </c>
      <c r="N39" s="11" t="s">
        <v>196</v>
      </c>
      <c r="O39" s="11" t="s">
        <v>197</v>
      </c>
    </row>
    <row r="40" customFormat="false" ht="21.75" hidden="false" customHeight="true" outlineLevel="0" collapsed="false">
      <c r="A40" s="6" t="s">
        <v>191</v>
      </c>
      <c r="B40" s="7" t="s">
        <v>198</v>
      </c>
      <c r="C40" s="8" t="n">
        <v>910</v>
      </c>
      <c r="D40" s="6" t="s">
        <v>193</v>
      </c>
      <c r="E40" s="9" t="n">
        <v>0.7</v>
      </c>
      <c r="F40" s="7" t="s">
        <v>199</v>
      </c>
      <c r="G40" s="6" t="s">
        <v>41</v>
      </c>
      <c r="H40" s="6" t="s">
        <v>41</v>
      </c>
      <c r="I40" s="6" t="s">
        <v>41</v>
      </c>
      <c r="J40" s="6" t="s">
        <v>113</v>
      </c>
      <c r="K40" s="6" t="s">
        <v>194</v>
      </c>
      <c r="L40" s="6" t="s">
        <v>51</v>
      </c>
      <c r="M40" s="15" t="s">
        <v>195</v>
      </c>
      <c r="N40" s="11" t="s">
        <v>200</v>
      </c>
      <c r="O40" s="11" t="s">
        <v>201</v>
      </c>
    </row>
    <row r="41" customFormat="false" ht="15" hidden="false" customHeight="true" outlineLevel="0" collapsed="false">
      <c r="A41" s="6" t="s">
        <v>191</v>
      </c>
      <c r="B41" s="7" t="s">
        <v>202</v>
      </c>
      <c r="C41" s="8" t="n">
        <v>416</v>
      </c>
      <c r="D41" s="6" t="s">
        <v>193</v>
      </c>
      <c r="E41" s="9" t="n">
        <v>0.2</v>
      </c>
      <c r="F41" s="7"/>
      <c r="G41" s="6" t="s">
        <v>41</v>
      </c>
      <c r="H41" s="6" t="s">
        <v>41</v>
      </c>
      <c r="I41" s="6" t="s">
        <v>41</v>
      </c>
      <c r="J41" s="6" t="s">
        <v>113</v>
      </c>
      <c r="K41" s="6" t="s">
        <v>194</v>
      </c>
      <c r="L41" s="6" t="s">
        <v>51</v>
      </c>
      <c r="M41" s="15" t="s">
        <v>195</v>
      </c>
      <c r="N41" s="11" t="s">
        <v>203</v>
      </c>
      <c r="O41" s="11" t="s">
        <v>204</v>
      </c>
    </row>
    <row r="42" customFormat="false" ht="15" hidden="false" customHeight="true" outlineLevel="0" collapsed="false">
      <c r="A42" s="6" t="s">
        <v>191</v>
      </c>
      <c r="B42" s="7" t="s">
        <v>205</v>
      </c>
      <c r="C42" s="8" t="n">
        <v>275</v>
      </c>
      <c r="D42" s="6" t="s">
        <v>193</v>
      </c>
      <c r="E42" s="9" t="n">
        <v>0.9</v>
      </c>
      <c r="F42" s="7"/>
      <c r="G42" s="6" t="s">
        <v>41</v>
      </c>
      <c r="H42" s="6" t="s">
        <v>41</v>
      </c>
      <c r="I42" s="6" t="s">
        <v>41</v>
      </c>
      <c r="J42" s="6" t="s">
        <v>113</v>
      </c>
      <c r="K42" s="6" t="s">
        <v>194</v>
      </c>
      <c r="L42" s="6" t="s">
        <v>65</v>
      </c>
      <c r="M42" s="15" t="s">
        <v>195</v>
      </c>
      <c r="N42" s="11" t="s">
        <v>206</v>
      </c>
      <c r="O42" s="11" t="s">
        <v>207</v>
      </c>
    </row>
    <row r="43" customFormat="false" ht="15" hidden="false" customHeight="true" outlineLevel="0" collapsed="false">
      <c r="A43" s="6" t="s">
        <v>191</v>
      </c>
      <c r="B43" s="7" t="s">
        <v>208</v>
      </c>
      <c r="C43" s="8" t="n">
        <v>213</v>
      </c>
      <c r="D43" s="6" t="s">
        <v>193</v>
      </c>
      <c r="E43" s="9" t="n">
        <v>0.2</v>
      </c>
      <c r="F43" s="7"/>
      <c r="G43" s="6" t="s">
        <v>41</v>
      </c>
      <c r="H43" s="6" t="s">
        <v>41</v>
      </c>
      <c r="I43" s="6" t="s">
        <v>41</v>
      </c>
      <c r="J43" s="6" t="s">
        <v>113</v>
      </c>
      <c r="K43" s="6" t="s">
        <v>194</v>
      </c>
      <c r="L43" s="6" t="s">
        <v>51</v>
      </c>
      <c r="M43" s="15" t="s">
        <v>195</v>
      </c>
      <c r="N43" s="11" t="s">
        <v>209</v>
      </c>
      <c r="O43" s="11" t="s">
        <v>210</v>
      </c>
    </row>
    <row r="44" customFormat="false" ht="15" hidden="false" customHeight="true" outlineLevel="0" collapsed="false">
      <c r="A44" s="6" t="s">
        <v>191</v>
      </c>
      <c r="B44" s="7" t="s">
        <v>211</v>
      </c>
      <c r="C44" s="8" t="n">
        <v>194</v>
      </c>
      <c r="D44" s="6" t="s">
        <v>193</v>
      </c>
      <c r="E44" s="9" t="n">
        <v>0.9</v>
      </c>
      <c r="F44" s="7"/>
      <c r="G44" s="6" t="s">
        <v>41</v>
      </c>
      <c r="H44" s="6" t="s">
        <v>41</v>
      </c>
      <c r="I44" s="6" t="s">
        <v>41</v>
      </c>
      <c r="J44" s="6" t="s">
        <v>113</v>
      </c>
      <c r="K44" s="6" t="s">
        <v>194</v>
      </c>
      <c r="L44" s="6" t="s">
        <v>70</v>
      </c>
      <c r="M44" s="15" t="s">
        <v>195</v>
      </c>
      <c r="N44" s="11" t="s">
        <v>212</v>
      </c>
      <c r="O44" s="11" t="s">
        <v>213</v>
      </c>
    </row>
    <row r="45" customFormat="false" ht="15" hidden="false" customHeight="true" outlineLevel="0" collapsed="false">
      <c r="A45" s="6" t="s">
        <v>191</v>
      </c>
      <c r="B45" s="7" t="s">
        <v>214</v>
      </c>
      <c r="C45" s="8" t="n">
        <v>192</v>
      </c>
      <c r="D45" s="6" t="s">
        <v>193</v>
      </c>
      <c r="E45" s="9" t="n">
        <v>0.8</v>
      </c>
      <c r="F45" s="7"/>
      <c r="G45" s="6" t="s">
        <v>41</v>
      </c>
      <c r="H45" s="6" t="s">
        <v>41</v>
      </c>
      <c r="I45" s="6" t="s">
        <v>41</v>
      </c>
      <c r="J45" s="6" t="s">
        <v>113</v>
      </c>
      <c r="K45" s="6" t="s">
        <v>194</v>
      </c>
      <c r="L45" s="6" t="s">
        <v>70</v>
      </c>
      <c r="M45" s="15" t="s">
        <v>195</v>
      </c>
      <c r="N45" s="11" t="s">
        <v>215</v>
      </c>
      <c r="O45" s="11" t="s">
        <v>216</v>
      </c>
    </row>
    <row r="46" customFormat="false" ht="15" hidden="false" customHeight="true" outlineLevel="0" collapsed="false">
      <c r="A46" s="6" t="s">
        <v>191</v>
      </c>
      <c r="B46" s="7" t="s">
        <v>217</v>
      </c>
      <c r="C46" s="8" t="n">
        <v>150</v>
      </c>
      <c r="D46" s="6" t="s">
        <v>193</v>
      </c>
      <c r="E46" s="9" t="n">
        <v>0</v>
      </c>
      <c r="F46" s="7"/>
      <c r="G46" s="6" t="s">
        <v>41</v>
      </c>
      <c r="H46" s="6" t="s">
        <v>41</v>
      </c>
      <c r="I46" s="6" t="s">
        <v>41</v>
      </c>
      <c r="J46" s="6" t="s">
        <v>113</v>
      </c>
      <c r="K46" s="6" t="s">
        <v>194</v>
      </c>
      <c r="L46" s="6" t="s">
        <v>65</v>
      </c>
      <c r="M46" s="15" t="s">
        <v>195</v>
      </c>
      <c r="N46" s="11" t="s">
        <v>218</v>
      </c>
      <c r="O46" s="11" t="s">
        <v>219</v>
      </c>
    </row>
    <row r="47" customFormat="false" ht="15" hidden="false" customHeight="true" outlineLevel="0" collapsed="false">
      <c r="A47" s="6" t="s">
        <v>191</v>
      </c>
      <c r="B47" s="7" t="s">
        <v>220</v>
      </c>
      <c r="C47" s="8" t="n">
        <v>64</v>
      </c>
      <c r="D47" s="6" t="s">
        <v>193</v>
      </c>
      <c r="E47" s="9" t="n">
        <v>0</v>
      </c>
      <c r="F47" s="7"/>
      <c r="G47" s="6" t="s">
        <v>41</v>
      </c>
      <c r="H47" s="6" t="s">
        <v>41</v>
      </c>
      <c r="I47" s="6" t="s">
        <v>41</v>
      </c>
      <c r="J47" s="6" t="s">
        <v>113</v>
      </c>
      <c r="K47" s="6" t="s">
        <v>41</v>
      </c>
      <c r="L47" s="6" t="s">
        <v>41</v>
      </c>
      <c r="M47" s="14" t="s">
        <v>124</v>
      </c>
      <c r="N47" s="11" t="s">
        <v>221</v>
      </c>
      <c r="O47" s="11" t="s">
        <v>222</v>
      </c>
    </row>
    <row r="48" customFormat="false" ht="15" hidden="false" customHeight="true" outlineLevel="0" collapsed="false">
      <c r="A48" s="6" t="s">
        <v>191</v>
      </c>
      <c r="B48" s="7" t="s">
        <v>223</v>
      </c>
      <c r="C48" s="8" t="n">
        <v>19</v>
      </c>
      <c r="D48" s="6" t="s">
        <v>193</v>
      </c>
      <c r="E48" s="9" t="n">
        <v>0.2</v>
      </c>
      <c r="F48" s="7"/>
      <c r="G48" s="6" t="s">
        <v>41</v>
      </c>
      <c r="H48" s="6" t="s">
        <v>41</v>
      </c>
      <c r="I48" s="6" t="s">
        <v>41</v>
      </c>
      <c r="J48" s="6" t="s">
        <v>113</v>
      </c>
      <c r="K48" s="6" t="s">
        <v>194</v>
      </c>
      <c r="L48" s="6" t="s">
        <v>65</v>
      </c>
      <c r="M48" s="15" t="s">
        <v>195</v>
      </c>
      <c r="N48" s="11" t="s">
        <v>224</v>
      </c>
      <c r="O48" s="11" t="s">
        <v>225</v>
      </c>
    </row>
    <row r="49" customFormat="false" ht="21.75" hidden="false" customHeight="true" outlineLevel="0" collapsed="false">
      <c r="A49" s="6" t="s">
        <v>191</v>
      </c>
      <c r="B49" s="7" t="s">
        <v>74</v>
      </c>
      <c r="C49" s="8" t="n">
        <v>1</v>
      </c>
      <c r="D49" s="6" t="s">
        <v>35</v>
      </c>
      <c r="E49" s="9" t="n">
        <v>0.85</v>
      </c>
      <c r="F49" s="7" t="s">
        <v>184</v>
      </c>
      <c r="G49" s="6" t="s">
        <v>75</v>
      </c>
      <c r="H49" s="6" t="s">
        <v>37</v>
      </c>
      <c r="I49" s="6" t="s">
        <v>76</v>
      </c>
      <c r="J49" s="6" t="s">
        <v>119</v>
      </c>
      <c r="K49" s="6" t="s">
        <v>78</v>
      </c>
      <c r="L49" s="6" t="s">
        <v>51</v>
      </c>
      <c r="M49" s="13" t="s">
        <v>66</v>
      </c>
      <c r="N49" s="11" t="s">
        <v>79</v>
      </c>
      <c r="O49" s="11" t="s">
        <v>185</v>
      </c>
    </row>
    <row r="50" customFormat="false" ht="32.25" hidden="false" customHeight="true" outlineLevel="0" collapsed="false">
      <c r="A50" s="6" t="s">
        <v>226</v>
      </c>
      <c r="B50" s="7" t="s">
        <v>227</v>
      </c>
      <c r="C50" s="8" t="n">
        <v>1191</v>
      </c>
      <c r="D50" s="6" t="s">
        <v>35</v>
      </c>
      <c r="E50" s="9" t="n">
        <v>0.9</v>
      </c>
      <c r="F50" s="7"/>
      <c r="G50" s="6" t="s">
        <v>228</v>
      </c>
      <c r="H50" s="6" t="s">
        <v>37</v>
      </c>
      <c r="I50" s="6" t="s">
        <v>135</v>
      </c>
      <c r="J50" s="6" t="s">
        <v>39</v>
      </c>
      <c r="K50" s="6" t="s">
        <v>229</v>
      </c>
      <c r="L50" s="6" t="s">
        <v>230</v>
      </c>
      <c r="M50" s="13" t="s">
        <v>66</v>
      </c>
      <c r="N50" s="11" t="s">
        <v>231</v>
      </c>
      <c r="O50" s="11" t="s">
        <v>232</v>
      </c>
    </row>
    <row r="51" customFormat="false" ht="32.25" hidden="false" customHeight="true" outlineLevel="0" collapsed="false">
      <c r="A51" s="6" t="s">
        <v>226</v>
      </c>
      <c r="B51" s="7" t="s">
        <v>233</v>
      </c>
      <c r="C51" s="8" t="n">
        <v>572</v>
      </c>
      <c r="D51" s="6" t="s">
        <v>35</v>
      </c>
      <c r="E51" s="9" t="n">
        <v>0.9</v>
      </c>
      <c r="F51" s="7"/>
      <c r="G51" s="6" t="s">
        <v>228</v>
      </c>
      <c r="H51" s="6" t="s">
        <v>37</v>
      </c>
      <c r="I51" s="6" t="s">
        <v>135</v>
      </c>
      <c r="J51" s="6" t="s">
        <v>39</v>
      </c>
      <c r="K51" s="6" t="s">
        <v>229</v>
      </c>
      <c r="L51" s="6" t="s">
        <v>230</v>
      </c>
      <c r="M51" s="13" t="s">
        <v>66</v>
      </c>
      <c r="N51" s="11" t="s">
        <v>231</v>
      </c>
      <c r="O51" s="11" t="s">
        <v>234</v>
      </c>
    </row>
    <row r="52" customFormat="false" ht="32.25" hidden="false" customHeight="true" outlineLevel="0" collapsed="false">
      <c r="A52" s="6" t="s">
        <v>226</v>
      </c>
      <c r="B52" s="7" t="s">
        <v>181</v>
      </c>
      <c r="C52" s="8" t="n">
        <v>296</v>
      </c>
      <c r="D52" s="6" t="s">
        <v>35</v>
      </c>
      <c r="E52" s="9" t="n">
        <v>0.85</v>
      </c>
      <c r="F52" s="7"/>
      <c r="G52" s="6" t="s">
        <v>228</v>
      </c>
      <c r="H52" s="6" t="s">
        <v>37</v>
      </c>
      <c r="I52" s="6" t="s">
        <v>135</v>
      </c>
      <c r="J52" s="6" t="s">
        <v>39</v>
      </c>
      <c r="K52" s="6" t="s">
        <v>229</v>
      </c>
      <c r="L52" s="6" t="s">
        <v>230</v>
      </c>
      <c r="M52" s="13" t="s">
        <v>66</v>
      </c>
      <c r="N52" s="11" t="s">
        <v>231</v>
      </c>
      <c r="O52" s="11" t="s">
        <v>235</v>
      </c>
    </row>
    <row r="53" customFormat="false" ht="32.25" hidden="false" customHeight="true" outlineLevel="0" collapsed="false">
      <c r="A53" s="6" t="s">
        <v>226</v>
      </c>
      <c r="B53" s="7" t="s">
        <v>236</v>
      </c>
      <c r="C53" s="8" t="n">
        <v>269</v>
      </c>
      <c r="D53" s="6" t="s">
        <v>35</v>
      </c>
      <c r="E53" s="9" t="n">
        <v>0.9</v>
      </c>
      <c r="F53" s="7"/>
      <c r="G53" s="6" t="s">
        <v>228</v>
      </c>
      <c r="H53" s="6" t="s">
        <v>37</v>
      </c>
      <c r="I53" s="6" t="s">
        <v>135</v>
      </c>
      <c r="J53" s="6" t="s">
        <v>39</v>
      </c>
      <c r="K53" s="6" t="s">
        <v>229</v>
      </c>
      <c r="L53" s="6" t="s">
        <v>230</v>
      </c>
      <c r="M53" s="13" t="s">
        <v>66</v>
      </c>
      <c r="N53" s="11" t="s">
        <v>231</v>
      </c>
      <c r="O53" s="11" t="s">
        <v>234</v>
      </c>
    </row>
    <row r="54" customFormat="false" ht="32.25" hidden="false" customHeight="true" outlineLevel="0" collapsed="false">
      <c r="A54" s="6" t="s">
        <v>226</v>
      </c>
      <c r="B54" s="7" t="s">
        <v>237</v>
      </c>
      <c r="C54" s="8" t="n">
        <v>231</v>
      </c>
      <c r="D54" s="6" t="s">
        <v>35</v>
      </c>
      <c r="E54" s="9" t="n">
        <v>0.9</v>
      </c>
      <c r="F54" s="7"/>
      <c r="G54" s="6" t="s">
        <v>228</v>
      </c>
      <c r="H54" s="6" t="s">
        <v>37</v>
      </c>
      <c r="I54" s="6" t="s">
        <v>135</v>
      </c>
      <c r="J54" s="6" t="s">
        <v>39</v>
      </c>
      <c r="K54" s="6" t="s">
        <v>229</v>
      </c>
      <c r="L54" s="6" t="s">
        <v>230</v>
      </c>
      <c r="M54" s="13" t="s">
        <v>66</v>
      </c>
      <c r="N54" s="11" t="s">
        <v>231</v>
      </c>
      <c r="O54" s="11" t="s">
        <v>234</v>
      </c>
    </row>
    <row r="55" customFormat="false" ht="32.25" hidden="false" customHeight="true" outlineLevel="0" collapsed="false">
      <c r="A55" s="6" t="s">
        <v>226</v>
      </c>
      <c r="B55" s="7" t="s">
        <v>238</v>
      </c>
      <c r="C55" s="8" t="n">
        <v>134</v>
      </c>
      <c r="D55" s="6" t="s">
        <v>35</v>
      </c>
      <c r="E55" s="9" t="n">
        <v>0.9</v>
      </c>
      <c r="F55" s="7"/>
      <c r="G55" s="6" t="s">
        <v>228</v>
      </c>
      <c r="H55" s="6" t="s">
        <v>37</v>
      </c>
      <c r="I55" s="6" t="s">
        <v>135</v>
      </c>
      <c r="J55" s="6" t="s">
        <v>39</v>
      </c>
      <c r="K55" s="6" t="s">
        <v>229</v>
      </c>
      <c r="L55" s="6" t="s">
        <v>230</v>
      </c>
      <c r="M55" s="13" t="s">
        <v>66</v>
      </c>
      <c r="N55" s="11" t="s">
        <v>231</v>
      </c>
      <c r="O55" s="11" t="s">
        <v>234</v>
      </c>
    </row>
    <row r="56" customFormat="false" ht="32.25" hidden="false" customHeight="true" outlineLevel="0" collapsed="false">
      <c r="A56" s="6" t="s">
        <v>226</v>
      </c>
      <c r="B56" s="7" t="s">
        <v>239</v>
      </c>
      <c r="C56" s="8" t="n">
        <v>99</v>
      </c>
      <c r="D56" s="6" t="s">
        <v>35</v>
      </c>
      <c r="E56" s="9" t="n">
        <v>0.9</v>
      </c>
      <c r="F56" s="7"/>
      <c r="G56" s="6" t="s">
        <v>228</v>
      </c>
      <c r="H56" s="6" t="s">
        <v>37</v>
      </c>
      <c r="I56" s="6" t="s">
        <v>135</v>
      </c>
      <c r="J56" s="6" t="s">
        <v>39</v>
      </c>
      <c r="K56" s="6" t="s">
        <v>229</v>
      </c>
      <c r="L56" s="6" t="s">
        <v>230</v>
      </c>
      <c r="M56" s="13" t="s">
        <v>66</v>
      </c>
      <c r="N56" s="11" t="s">
        <v>231</v>
      </c>
      <c r="O56" s="11" t="s">
        <v>234</v>
      </c>
    </row>
    <row r="57" customFormat="false" ht="21.75" hidden="false" customHeight="true" outlineLevel="0" collapsed="false">
      <c r="A57" s="6" t="s">
        <v>226</v>
      </c>
      <c r="B57" s="7" t="s">
        <v>240</v>
      </c>
      <c r="C57" s="8" t="n">
        <v>29</v>
      </c>
      <c r="D57" s="6" t="s">
        <v>35</v>
      </c>
      <c r="E57" s="9" t="n">
        <v>0</v>
      </c>
      <c r="F57" s="7"/>
      <c r="G57" s="6" t="s">
        <v>228</v>
      </c>
      <c r="H57" s="6" t="s">
        <v>37</v>
      </c>
      <c r="I57" s="6" t="s">
        <v>135</v>
      </c>
      <c r="J57" s="6" t="s">
        <v>39</v>
      </c>
      <c r="K57" s="6" t="s">
        <v>241</v>
      </c>
      <c r="L57" s="6" t="s">
        <v>65</v>
      </c>
      <c r="M57" s="13" t="s">
        <v>66</v>
      </c>
      <c r="N57" s="11" t="s">
        <v>242</v>
      </c>
      <c r="O57" s="11" t="s">
        <v>243</v>
      </c>
    </row>
    <row r="58" customFormat="false" ht="32.25" hidden="false" customHeight="true" outlineLevel="0" collapsed="false">
      <c r="A58" s="6" t="s">
        <v>226</v>
      </c>
      <c r="B58" s="7" t="s">
        <v>244</v>
      </c>
      <c r="C58" s="8" t="n">
        <v>28</v>
      </c>
      <c r="D58" s="6" t="s">
        <v>35</v>
      </c>
      <c r="E58" s="9" t="n">
        <v>0.85</v>
      </c>
      <c r="F58" s="7"/>
      <c r="G58" s="6" t="s">
        <v>228</v>
      </c>
      <c r="H58" s="6" t="s">
        <v>37</v>
      </c>
      <c r="I58" s="6" t="s">
        <v>135</v>
      </c>
      <c r="J58" s="6" t="s">
        <v>39</v>
      </c>
      <c r="K58" s="6" t="s">
        <v>229</v>
      </c>
      <c r="L58" s="6" t="s">
        <v>230</v>
      </c>
      <c r="M58" s="13" t="s">
        <v>66</v>
      </c>
      <c r="N58" s="11" t="s">
        <v>231</v>
      </c>
      <c r="O58" s="11" t="s">
        <v>245</v>
      </c>
    </row>
    <row r="59" customFormat="false" ht="32.25" hidden="false" customHeight="true" outlineLevel="0" collapsed="false">
      <c r="A59" s="6" t="s">
        <v>226</v>
      </c>
      <c r="B59" s="7" t="s">
        <v>246</v>
      </c>
      <c r="C59" s="8" t="n">
        <v>24</v>
      </c>
      <c r="D59" s="6" t="s">
        <v>35</v>
      </c>
      <c r="E59" s="9" t="n">
        <v>0.85</v>
      </c>
      <c r="F59" s="7"/>
      <c r="G59" s="6" t="s">
        <v>228</v>
      </c>
      <c r="H59" s="6" t="s">
        <v>37</v>
      </c>
      <c r="I59" s="6" t="s">
        <v>135</v>
      </c>
      <c r="J59" s="6" t="s">
        <v>39</v>
      </c>
      <c r="K59" s="6" t="s">
        <v>229</v>
      </c>
      <c r="L59" s="6" t="s">
        <v>230</v>
      </c>
      <c r="M59" s="13" t="s">
        <v>66</v>
      </c>
      <c r="N59" s="11" t="s">
        <v>231</v>
      </c>
      <c r="O59" s="11" t="s">
        <v>247</v>
      </c>
    </row>
    <row r="60" customFormat="false" ht="32.25" hidden="false" customHeight="true" outlineLevel="0" collapsed="false">
      <c r="A60" s="6" t="s">
        <v>226</v>
      </c>
      <c r="B60" s="7" t="s">
        <v>248</v>
      </c>
      <c r="C60" s="8" t="n">
        <v>17</v>
      </c>
      <c r="D60" s="6" t="s">
        <v>35</v>
      </c>
      <c r="E60" s="9" t="n">
        <v>0.9</v>
      </c>
      <c r="F60" s="7"/>
      <c r="G60" s="6" t="s">
        <v>228</v>
      </c>
      <c r="H60" s="6" t="s">
        <v>37</v>
      </c>
      <c r="I60" s="6" t="s">
        <v>135</v>
      </c>
      <c r="J60" s="6" t="s">
        <v>39</v>
      </c>
      <c r="K60" s="6" t="s">
        <v>229</v>
      </c>
      <c r="L60" s="6" t="s">
        <v>230</v>
      </c>
      <c r="M60" s="13" t="s">
        <v>66</v>
      </c>
      <c r="N60" s="11" t="s">
        <v>231</v>
      </c>
      <c r="O60" s="11" t="s">
        <v>234</v>
      </c>
    </row>
    <row r="61" customFormat="false" ht="32.25" hidden="false" customHeight="true" outlineLevel="0" collapsed="false">
      <c r="A61" s="6" t="s">
        <v>226</v>
      </c>
      <c r="B61" s="7" t="s">
        <v>249</v>
      </c>
      <c r="C61" s="8" t="n">
        <v>1</v>
      </c>
      <c r="D61" s="6" t="s">
        <v>35</v>
      </c>
      <c r="E61" s="9" t="n">
        <v>0.9</v>
      </c>
      <c r="F61" s="7"/>
      <c r="G61" s="6" t="s">
        <v>228</v>
      </c>
      <c r="H61" s="6" t="s">
        <v>37</v>
      </c>
      <c r="I61" s="6" t="s">
        <v>135</v>
      </c>
      <c r="J61" s="6" t="s">
        <v>39</v>
      </c>
      <c r="K61" s="6" t="s">
        <v>229</v>
      </c>
      <c r="L61" s="6" t="s">
        <v>230</v>
      </c>
      <c r="M61" s="13" t="s">
        <v>66</v>
      </c>
      <c r="N61" s="11" t="s">
        <v>231</v>
      </c>
      <c r="O61" s="11" t="s">
        <v>234</v>
      </c>
    </row>
    <row r="62" customFormat="false" ht="21.75" hidden="false" customHeight="true" outlineLevel="0" collapsed="false">
      <c r="A62" s="6" t="s">
        <v>191</v>
      </c>
      <c r="B62" s="7" t="s">
        <v>250</v>
      </c>
      <c r="C62" s="6" t="s">
        <v>41</v>
      </c>
      <c r="D62" s="6" t="s">
        <v>251</v>
      </c>
      <c r="E62" s="6"/>
      <c r="F62" s="7"/>
      <c r="G62" s="6" t="s">
        <v>41</v>
      </c>
      <c r="H62" s="6" t="s">
        <v>41</v>
      </c>
      <c r="I62" s="6" t="s">
        <v>41</v>
      </c>
      <c r="J62" s="6" t="s">
        <v>113</v>
      </c>
      <c r="K62" s="6" t="s">
        <v>194</v>
      </c>
      <c r="L62" s="6" t="s">
        <v>70</v>
      </c>
      <c r="M62" s="10" t="s">
        <v>251</v>
      </c>
      <c r="N62" s="11" t="s">
        <v>252</v>
      </c>
      <c r="O62" s="11"/>
    </row>
    <row r="63" customFormat="false" ht="21.75" hidden="false" customHeight="true" outlineLevel="0" collapsed="false">
      <c r="A63" s="6" t="s">
        <v>191</v>
      </c>
      <c r="B63" s="7" t="s">
        <v>240</v>
      </c>
      <c r="C63" s="6" t="s">
        <v>41</v>
      </c>
      <c r="D63" s="6" t="s">
        <v>251</v>
      </c>
      <c r="E63" s="6"/>
      <c r="F63" s="7"/>
      <c r="G63" s="6" t="s">
        <v>41</v>
      </c>
      <c r="H63" s="6" t="s">
        <v>41</v>
      </c>
      <c r="I63" s="6" t="s">
        <v>41</v>
      </c>
      <c r="J63" s="6" t="s">
        <v>113</v>
      </c>
      <c r="K63" s="6" t="s">
        <v>194</v>
      </c>
      <c r="L63" s="6" t="s">
        <v>65</v>
      </c>
      <c r="M63" s="10" t="s">
        <v>251</v>
      </c>
      <c r="N63" s="11" t="s">
        <v>253</v>
      </c>
      <c r="O63" s="11"/>
    </row>
    <row r="64" customFormat="false" ht="21.75" hidden="false" customHeight="true" outlineLevel="0" collapsed="false">
      <c r="A64" s="6" t="s">
        <v>73</v>
      </c>
      <c r="B64" s="7" t="s">
        <v>254</v>
      </c>
      <c r="C64" s="8" t="n">
        <v>176</v>
      </c>
      <c r="D64" s="6" t="s">
        <v>255</v>
      </c>
      <c r="E64" s="6"/>
      <c r="F64" s="7"/>
      <c r="G64" s="6" t="s">
        <v>256</v>
      </c>
      <c r="H64" s="6" t="s">
        <v>37</v>
      </c>
      <c r="I64" s="6" t="s">
        <v>94</v>
      </c>
      <c r="J64" s="6" t="s">
        <v>39</v>
      </c>
      <c r="K64" s="6" t="s">
        <v>78</v>
      </c>
      <c r="L64" s="6" t="s">
        <v>51</v>
      </c>
      <c r="M64" s="13" t="s">
        <v>66</v>
      </c>
      <c r="N64" s="11" t="s">
        <v>257</v>
      </c>
      <c r="O64" s="11"/>
    </row>
    <row r="65" customFormat="false" ht="15" hidden="false" customHeight="true" outlineLevel="0" collapsed="false">
      <c r="A65" s="6" t="s">
        <v>73</v>
      </c>
      <c r="B65" s="7" t="s">
        <v>258</v>
      </c>
      <c r="C65" s="8" t="n">
        <v>192</v>
      </c>
      <c r="D65" s="6" t="s">
        <v>255</v>
      </c>
      <c r="E65" s="6"/>
      <c r="F65" s="7"/>
      <c r="G65" s="6" t="s">
        <v>259</v>
      </c>
      <c r="H65" s="6" t="s">
        <v>37</v>
      </c>
      <c r="I65" s="6" t="s">
        <v>103</v>
      </c>
      <c r="J65" s="6" t="s">
        <v>39</v>
      </c>
      <c r="K65" s="6" t="s">
        <v>78</v>
      </c>
      <c r="L65" s="6" t="s">
        <v>51</v>
      </c>
      <c r="M65" s="13" t="s">
        <v>66</v>
      </c>
      <c r="N65" s="11" t="s">
        <v>109</v>
      </c>
      <c r="O65" s="11"/>
    </row>
    <row r="66" customFormat="false" ht="21.75" hidden="false" customHeight="true" outlineLevel="0" collapsed="false">
      <c r="A66" s="6" t="s">
        <v>73</v>
      </c>
      <c r="B66" s="7" t="s">
        <v>260</v>
      </c>
      <c r="C66" s="6" t="s">
        <v>41</v>
      </c>
      <c r="D66" s="6" t="s">
        <v>251</v>
      </c>
      <c r="E66" s="6"/>
      <c r="F66" s="7"/>
      <c r="G66" s="6" t="s">
        <v>41</v>
      </c>
      <c r="H66" s="6" t="s">
        <v>41</v>
      </c>
      <c r="I66" s="6" t="s">
        <v>41</v>
      </c>
      <c r="J66" s="6" t="s">
        <v>113</v>
      </c>
      <c r="K66" s="6" t="s">
        <v>78</v>
      </c>
      <c r="L66" s="6" t="s">
        <v>51</v>
      </c>
      <c r="M66" s="10" t="s">
        <v>251</v>
      </c>
      <c r="N66" s="11" t="s">
        <v>261</v>
      </c>
      <c r="O66" s="11"/>
    </row>
    <row r="67" customFormat="false" ht="15" hidden="false" customHeight="true" outlineLevel="0" collapsed="false">
      <c r="A67" s="6" t="s">
        <v>155</v>
      </c>
      <c r="B67" s="7" t="s">
        <v>262</v>
      </c>
      <c r="C67" s="6" t="s">
        <v>41</v>
      </c>
      <c r="D67" s="6" t="s">
        <v>255</v>
      </c>
      <c r="E67" s="6"/>
      <c r="F67" s="7"/>
      <c r="G67" s="6" t="s">
        <v>263</v>
      </c>
      <c r="H67" s="6" t="s">
        <v>37</v>
      </c>
      <c r="I67" s="6" t="s">
        <v>50</v>
      </c>
      <c r="J67" s="6" t="s">
        <v>39</v>
      </c>
      <c r="K67" s="6" t="s">
        <v>64</v>
      </c>
      <c r="L67" s="6" t="s">
        <v>65</v>
      </c>
      <c r="M67" s="13" t="s">
        <v>66</v>
      </c>
      <c r="N67" s="11" t="s">
        <v>264</v>
      </c>
      <c r="O67" s="11"/>
    </row>
    <row r="68" customFormat="false" ht="21.75" hidden="false" customHeight="true" outlineLevel="0" collapsed="false">
      <c r="A68" s="6" t="s">
        <v>155</v>
      </c>
      <c r="B68" s="7" t="s">
        <v>265</v>
      </c>
      <c r="C68" s="6" t="s">
        <v>41</v>
      </c>
      <c r="D68" s="6" t="s">
        <v>251</v>
      </c>
      <c r="E68" s="6"/>
      <c r="F68" s="7"/>
      <c r="G68" s="6" t="s">
        <v>168</v>
      </c>
      <c r="H68" s="6" t="s">
        <v>37</v>
      </c>
      <c r="I68" s="6" t="s">
        <v>50</v>
      </c>
      <c r="J68" s="6" t="s">
        <v>39</v>
      </c>
      <c r="K68" s="6" t="s">
        <v>64</v>
      </c>
      <c r="L68" s="6" t="s">
        <v>70</v>
      </c>
      <c r="M68" s="13" t="s">
        <v>66</v>
      </c>
      <c r="N68" s="11" t="s">
        <v>266</v>
      </c>
      <c r="O68" s="11"/>
    </row>
    <row r="69" customFormat="false" ht="32.25" hidden="false" customHeight="true" outlineLevel="0" collapsed="false">
      <c r="A69" s="6" t="s">
        <v>155</v>
      </c>
      <c r="B69" s="7" t="s">
        <v>267</v>
      </c>
      <c r="C69" s="6" t="s">
        <v>41</v>
      </c>
      <c r="D69" s="6" t="s">
        <v>251</v>
      </c>
      <c r="E69" s="6"/>
      <c r="F69" s="7"/>
      <c r="G69" s="6" t="s">
        <v>36</v>
      </c>
      <c r="H69" s="6" t="s">
        <v>37</v>
      </c>
      <c r="I69" s="6" t="s">
        <v>38</v>
      </c>
      <c r="J69" s="6" t="s">
        <v>39</v>
      </c>
      <c r="K69" s="6" t="s">
        <v>64</v>
      </c>
      <c r="L69" s="6" t="s">
        <v>70</v>
      </c>
      <c r="M69" s="12" t="s">
        <v>52</v>
      </c>
      <c r="N69" s="11" t="s">
        <v>268</v>
      </c>
      <c r="O69" s="11"/>
    </row>
  </sheetData>
  <autoFilter ref="A1:O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4" min="3" style="1" width="14"/>
    <col collapsed="false" customWidth="true" hidden="false" outlineLevel="0" max="5" min="5" style="1" width="72"/>
  </cols>
  <sheetData>
    <row r="1" customFormat="false" ht="23.25" hidden="false" customHeight="true" outlineLevel="0" collapsed="false">
      <c r="A1" s="5" t="s">
        <v>269</v>
      </c>
      <c r="B1" s="5" t="s">
        <v>270</v>
      </c>
      <c r="C1" s="5" t="s">
        <v>271</v>
      </c>
      <c r="D1" s="5" t="s">
        <v>272</v>
      </c>
      <c r="E1" s="5" t="s">
        <v>273</v>
      </c>
    </row>
    <row r="2" customFormat="false" ht="15" hidden="false" customHeight="true" outlineLevel="0" collapsed="false">
      <c r="A2" s="16" t="s">
        <v>52</v>
      </c>
      <c r="B2" s="17" t="n">
        <f aca="false">COUNTIF(Reconciliation!$M$2:$M$69,$A2)</f>
        <v>6</v>
      </c>
      <c r="C2" s="18" t="n">
        <f aca="false">SUMIF(Reconciliation!$M$2:$M$69,$A2,Reconciliation!$C$2:$C$69)</f>
        <v>13677</v>
      </c>
      <c r="D2" s="19" t="n">
        <f aca="false">IFERROR($C2/$C$8,0)</f>
        <v>0.229714976737936</v>
      </c>
      <c r="E2" s="11" t="s">
        <v>274</v>
      </c>
    </row>
    <row r="3" customFormat="false" ht="15" hidden="false" customHeight="true" outlineLevel="0" collapsed="false">
      <c r="A3" s="20" t="s">
        <v>124</v>
      </c>
      <c r="B3" s="17" t="n">
        <f aca="false">COUNTIF(Reconciliation!$M$2:$M$69,$A3)</f>
        <v>11</v>
      </c>
      <c r="C3" s="18" t="n">
        <f aca="false">SUMIF(Reconciliation!$M$2:$M$69,$A3,Reconciliation!$C$2:$C$69)</f>
        <v>3000</v>
      </c>
      <c r="D3" s="19" t="n">
        <f aca="false">IFERROR($C3/$C$8,0)</f>
        <v>0.0503871412015654</v>
      </c>
      <c r="E3" s="11" t="s">
        <v>275</v>
      </c>
    </row>
    <row r="4" customFormat="false" ht="15" hidden="false" customHeight="true" outlineLevel="0" collapsed="false">
      <c r="A4" s="21" t="s">
        <v>42</v>
      </c>
      <c r="B4" s="17" t="n">
        <f aca="false">COUNTIF(Reconciliation!$M$2:$M$69,$A4)</f>
        <v>8</v>
      </c>
      <c r="C4" s="18" t="n">
        <f aca="false">SUMIF(Reconciliation!$M$2:$M$69,$A4,Reconciliation!$C$2:$C$69)</f>
        <v>20629</v>
      </c>
      <c r="D4" s="19" t="n">
        <f aca="false">IFERROR($C4/$C$8,0)</f>
        <v>0.346478778615697</v>
      </c>
      <c r="E4" s="11" t="s">
        <v>276</v>
      </c>
    </row>
    <row r="5" customFormat="false" ht="15" hidden="false" customHeight="true" outlineLevel="0" collapsed="false">
      <c r="A5" s="21" t="s">
        <v>251</v>
      </c>
      <c r="B5" s="17" t="n">
        <f aca="false">COUNTIF(Reconciliation!$M$2:$M$69,$A5)</f>
        <v>3</v>
      </c>
      <c r="C5" s="18" t="n">
        <f aca="false">SUMIF(Reconciliation!$M$2:$M$69,$A5,Reconciliation!$C$2:$C$69)</f>
        <v>0</v>
      </c>
      <c r="D5" s="19" t="n">
        <f aca="false">IFERROR($C5/$C$8,0)</f>
        <v>0</v>
      </c>
      <c r="E5" s="11" t="s">
        <v>277</v>
      </c>
    </row>
    <row r="6" customFormat="false" ht="15" hidden="false" customHeight="true" outlineLevel="0" collapsed="false">
      <c r="A6" s="22" t="s">
        <v>195</v>
      </c>
      <c r="B6" s="17" t="n">
        <f aca="false">COUNTIF(Reconciliation!$M$2:$M$69,$A6)</f>
        <v>9</v>
      </c>
      <c r="C6" s="18" t="n">
        <f aca="false">SUMIF(Reconciliation!$M$2:$M$69,$A6,Reconciliation!$C$2:$C$69)</f>
        <v>3807</v>
      </c>
      <c r="D6" s="19" t="n">
        <f aca="false">IFERROR($C6/$C$8,0)</f>
        <v>0.0639412821847864</v>
      </c>
      <c r="E6" s="11" t="s">
        <v>278</v>
      </c>
    </row>
    <row r="7" customFormat="false" ht="15" hidden="false" customHeight="true" outlineLevel="0" collapsed="false">
      <c r="A7" s="23" t="s">
        <v>66</v>
      </c>
      <c r="B7" s="17" t="n">
        <f aca="false">COUNTIF(Reconciliation!$M$2:$M$69,$A7)</f>
        <v>31</v>
      </c>
      <c r="C7" s="18" t="n">
        <f aca="false">SUMIF(Reconciliation!$M$2:$M$69,$A7,Reconciliation!$C$2:$C$69)</f>
        <v>18426</v>
      </c>
      <c r="D7" s="19" t="n">
        <f aca="false">IFERROR($C7/$C$8,0)</f>
        <v>0.309477821260014</v>
      </c>
      <c r="E7" s="11" t="s">
        <v>279</v>
      </c>
    </row>
    <row r="8" customFormat="false" ht="15" hidden="false" customHeight="true" outlineLevel="0" collapsed="false">
      <c r="A8" s="24" t="s">
        <v>280</v>
      </c>
      <c r="B8" s="24" t="n">
        <f aca="false">SUM(B2:B7)</f>
        <v>68</v>
      </c>
      <c r="C8" s="25" t="n">
        <f aca="false">SUM(C2:C7)</f>
        <v>59539</v>
      </c>
      <c r="D8" s="26" t="n">
        <f aca="false">IFERROR(C8/C8,0)</f>
        <v>1</v>
      </c>
    </row>
    <row r="10" customFormat="false" ht="105.75" hidden="false" customHeight="true" outlineLevel="0" collapsed="false">
      <c r="A10" s="27"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2"/>
    <col collapsed="false" customWidth="true" hidden="false" outlineLevel="0" max="3" min="3" style="1" width="14"/>
    <col collapsed="false" customWidth="true" hidden="false" outlineLevel="0" max="6" min="4" style="1" width="12"/>
    <col collapsed="false" customWidth="true" hidden="false" outlineLevel="0" max="7" min="7" style="1" width="13"/>
  </cols>
  <sheetData>
    <row r="1" customFormat="false" ht="15" hidden="false" customHeight="true" outlineLevel="0" collapsed="false">
      <c r="A1" s="5" t="s">
        <v>282</v>
      </c>
      <c r="B1" s="5" t="s">
        <v>270</v>
      </c>
      <c r="C1" s="5" t="s">
        <v>271</v>
      </c>
      <c r="D1" s="5" t="s">
        <v>283</v>
      </c>
      <c r="E1" s="5" t="s">
        <v>284</v>
      </c>
      <c r="F1" s="5" t="s">
        <v>285</v>
      </c>
      <c r="G1" s="5" t="s">
        <v>286</v>
      </c>
    </row>
    <row r="2" customFormat="false" ht="15" hidden="false" customHeight="true" outlineLevel="0" collapsed="false">
      <c r="A2" s="28" t="s">
        <v>33</v>
      </c>
      <c r="B2" s="17" t="n">
        <f aca="false">COUNTIF(Reconciliation!$A$2:$A$69,$A2)</f>
        <v>1</v>
      </c>
      <c r="C2" s="18" t="n">
        <f aca="false">SUMIF(Reconciliation!$A$2:$A$69,$A2,Reconciliation!$C$2:$C$69)</f>
        <v>9769</v>
      </c>
      <c r="D2" s="17" t="n">
        <f aca="false">COUNTIFS(Reconciliation!$A$2:$A$69,$A2,Reconciliation!$M$2:$M$69,"CONFLICT")</f>
        <v>0</v>
      </c>
      <c r="E2" s="17" t="n">
        <f aca="false">COUNTIFS(Reconciliation!$A$2:$A$69,$A2,Reconciliation!$M$2:$M$69,"NO FLOW")</f>
        <v>0</v>
      </c>
      <c r="F2" s="17" t="n">
        <f aca="false">COUNTIFS(Reconciliation!$A$2:$A$69,$A2,Reconciliation!$M$2:$M$69,"AGREE")</f>
        <v>0</v>
      </c>
      <c r="G2" s="17" t="n">
        <f aca="false">COUNTIFS(Reconciliation!$A$2:$A$69,$A2,Reconciliation!$J$2:$J$69,"BUILT")</f>
        <v>0</v>
      </c>
    </row>
    <row r="3" customFormat="false" ht="15" hidden="false" customHeight="true" outlineLevel="0" collapsed="false">
      <c r="A3" s="28" t="s">
        <v>45</v>
      </c>
      <c r="B3" s="17" t="n">
        <f aca="false">COUNTIF(Reconciliation!$A$2:$A$69,$A3)</f>
        <v>5</v>
      </c>
      <c r="C3" s="18" t="n">
        <f aca="false">SUMIF(Reconciliation!$A$2:$A$69,$A3,Reconciliation!$C$2:$C$69)</f>
        <v>12781</v>
      </c>
      <c r="D3" s="17" t="n">
        <f aca="false">COUNTIFS(Reconciliation!$A$2:$A$69,$A3,Reconciliation!$M$2:$M$69,"CONFLICT")</f>
        <v>3</v>
      </c>
      <c r="E3" s="17" t="n">
        <f aca="false">COUNTIFS(Reconciliation!$A$2:$A$69,$A3,Reconciliation!$M$2:$M$69,"NO FLOW")</f>
        <v>0</v>
      </c>
      <c r="F3" s="17" t="n">
        <f aca="false">COUNTIFS(Reconciliation!$A$2:$A$69,$A3,Reconciliation!$M$2:$M$69,"AGREE")</f>
        <v>1</v>
      </c>
      <c r="G3" s="17" t="n">
        <f aca="false">COUNTIFS(Reconciliation!$A$2:$A$69,$A3,Reconciliation!$J$2:$J$69,"BUILT")</f>
        <v>0</v>
      </c>
    </row>
    <row r="4" customFormat="false" ht="15" hidden="false" customHeight="true" outlineLevel="0" collapsed="false">
      <c r="A4" s="28" t="s">
        <v>73</v>
      </c>
      <c r="B4" s="17" t="n">
        <f aca="false">COUNTIF(Reconciliation!$A$2:$A$69,$A4)</f>
        <v>13</v>
      </c>
      <c r="C4" s="18" t="n">
        <f aca="false">SUMIF(Reconciliation!$A$2:$A$69,$A4,Reconciliation!$C$2:$C$69)</f>
        <v>11651</v>
      </c>
      <c r="D4" s="17" t="n">
        <f aca="false">COUNTIFS(Reconciliation!$A$2:$A$69,$A4,Reconciliation!$M$2:$M$69,"CONFLICT")</f>
        <v>2</v>
      </c>
      <c r="E4" s="17" t="n">
        <f aca="false">COUNTIFS(Reconciliation!$A$2:$A$69,$A4,Reconciliation!$M$2:$M$69,"NO FLOW")</f>
        <v>1</v>
      </c>
      <c r="F4" s="17" t="n">
        <f aca="false">COUNTIFS(Reconciliation!$A$2:$A$69,$A4,Reconciliation!$M$2:$M$69,"AGREE")</f>
        <v>9</v>
      </c>
      <c r="G4" s="17" t="n">
        <f aca="false">COUNTIFS(Reconciliation!$A$2:$A$69,$A4,Reconciliation!$J$2:$J$69,"BUILT")</f>
        <v>3</v>
      </c>
    </row>
    <row r="5" customFormat="false" ht="15" hidden="false" customHeight="true" outlineLevel="0" collapsed="false">
      <c r="A5" s="28" t="s">
        <v>127</v>
      </c>
      <c r="B5" s="17" t="n">
        <f aca="false">COUNTIF(Reconciliation!$A$2:$A$69,$A5)</f>
        <v>10</v>
      </c>
      <c r="C5" s="18" t="n">
        <f aca="false">SUMIF(Reconciliation!$A$2:$A$69,$A5,Reconciliation!$C$2:$C$69)</f>
        <v>8318</v>
      </c>
      <c r="D5" s="17" t="n">
        <f aca="false">COUNTIFS(Reconciliation!$A$2:$A$69,$A5,Reconciliation!$M$2:$M$69,"CONFLICT")</f>
        <v>0</v>
      </c>
      <c r="E5" s="17" t="n">
        <f aca="false">COUNTIFS(Reconciliation!$A$2:$A$69,$A5,Reconciliation!$M$2:$M$69,"NO FLOW")</f>
        <v>7</v>
      </c>
      <c r="F5" s="17" t="n">
        <f aca="false">COUNTIFS(Reconciliation!$A$2:$A$69,$A5,Reconciliation!$M$2:$M$69,"AGREE")</f>
        <v>0</v>
      </c>
      <c r="G5" s="17" t="n">
        <f aca="false">COUNTIFS(Reconciliation!$A$2:$A$69,$A5,Reconciliation!$J$2:$J$69,"BUILT")</f>
        <v>1</v>
      </c>
    </row>
    <row r="6" customFormat="false" ht="15" hidden="false" customHeight="true" outlineLevel="0" collapsed="false">
      <c r="A6" s="28" t="s">
        <v>155</v>
      </c>
      <c r="B6" s="17" t="n">
        <f aca="false">COUNTIF(Reconciliation!$A$2:$A$69,$A6)</f>
        <v>14</v>
      </c>
      <c r="C6" s="18" t="n">
        <f aca="false">SUMIF(Reconciliation!$A$2:$A$69,$A6,Reconciliation!$C$2:$C$69)</f>
        <v>10257</v>
      </c>
      <c r="D6" s="17" t="n">
        <f aca="false">COUNTIFS(Reconciliation!$A$2:$A$69,$A6,Reconciliation!$M$2:$M$69,"CONFLICT")</f>
        <v>1</v>
      </c>
      <c r="E6" s="17" t="n">
        <f aca="false">COUNTIFS(Reconciliation!$A$2:$A$69,$A6,Reconciliation!$M$2:$M$69,"NO FLOW")</f>
        <v>2</v>
      </c>
      <c r="F6" s="17" t="n">
        <f aca="false">COUNTIFS(Reconciliation!$A$2:$A$69,$A6,Reconciliation!$M$2:$M$69,"AGREE")</f>
        <v>8</v>
      </c>
      <c r="G6" s="17" t="n">
        <f aca="false">COUNTIFS(Reconciliation!$A$2:$A$69,$A6,Reconciliation!$J$2:$J$69,"BUILT")</f>
        <v>1</v>
      </c>
    </row>
    <row r="7" customFormat="false" ht="15" hidden="false" customHeight="true" outlineLevel="0" collapsed="false">
      <c r="A7" s="28" t="s">
        <v>191</v>
      </c>
      <c r="B7" s="17" t="n">
        <f aca="false">COUNTIF(Reconciliation!$A$2:$A$69,$A7)</f>
        <v>13</v>
      </c>
      <c r="C7" s="18" t="n">
        <f aca="false">SUMIF(Reconciliation!$A$2:$A$69,$A7,Reconciliation!$C$2:$C$69)</f>
        <v>3872</v>
      </c>
      <c r="D7" s="17" t="n">
        <f aca="false">COUNTIFS(Reconciliation!$A$2:$A$69,$A7,Reconciliation!$M$2:$M$69,"CONFLICT")</f>
        <v>0</v>
      </c>
      <c r="E7" s="17" t="n">
        <f aca="false">COUNTIFS(Reconciliation!$A$2:$A$69,$A7,Reconciliation!$M$2:$M$69,"NO FLOW")</f>
        <v>1</v>
      </c>
      <c r="F7" s="17" t="n">
        <f aca="false">COUNTIFS(Reconciliation!$A$2:$A$69,$A7,Reconciliation!$M$2:$M$69,"AGREE")</f>
        <v>1</v>
      </c>
      <c r="G7" s="17" t="n">
        <f aca="false">COUNTIFS(Reconciliation!$A$2:$A$69,$A7,Reconciliation!$J$2:$J$69,"BUILT")</f>
        <v>0</v>
      </c>
    </row>
    <row r="8" customFormat="false" ht="15" hidden="false" customHeight="true" outlineLevel="0" collapsed="false">
      <c r="A8" s="28" t="s">
        <v>226</v>
      </c>
      <c r="B8" s="17" t="n">
        <f aca="false">COUNTIF(Reconciliation!$A$2:$A$69,$A8)</f>
        <v>12</v>
      </c>
      <c r="C8" s="18" t="n">
        <f aca="false">SUMIF(Reconciliation!$A$2:$A$69,$A8,Reconciliation!$C$2:$C$69)</f>
        <v>2891</v>
      </c>
      <c r="D8" s="17" t="n">
        <f aca="false">COUNTIFS(Reconciliation!$A$2:$A$69,$A8,Reconciliation!$M$2:$M$69,"CONFLICT")</f>
        <v>0</v>
      </c>
      <c r="E8" s="17" t="n">
        <f aca="false">COUNTIFS(Reconciliation!$A$2:$A$69,$A8,Reconciliation!$M$2:$M$69,"NO FLOW")</f>
        <v>0</v>
      </c>
      <c r="F8" s="17" t="n">
        <f aca="false">COUNTIFS(Reconciliation!$A$2:$A$69,$A8,Reconciliation!$M$2:$M$69,"AGREE")</f>
        <v>12</v>
      </c>
      <c r="G8" s="17" t="n">
        <f aca="false">COUNTIFS(Reconciliation!$A$2:$A$69,$A8,Reconciliation!$J$2:$J$69,"BUILT")</f>
        <v>0</v>
      </c>
    </row>
    <row r="9" customFormat="false" ht="15" hidden="false" customHeight="true" outlineLevel="0" collapsed="false">
      <c r="A9" s="24" t="s">
        <v>280</v>
      </c>
      <c r="B9" s="28" t="n">
        <f aca="false">SUM(B2:B8)</f>
        <v>68</v>
      </c>
      <c r="C9" s="29" t="n">
        <f aca="false">SUM(C2:C8)</f>
        <v>59539</v>
      </c>
      <c r="D9" s="28" t="n">
        <f aca="false">SUM(D2:D8)</f>
        <v>6</v>
      </c>
      <c r="E9" s="28" t="n">
        <f aca="false">SUM(E2:E8)</f>
        <v>11</v>
      </c>
      <c r="F9" s="28" t="n">
        <f aca="false">SUM(F2:F8)</f>
        <v>31</v>
      </c>
      <c r="G9" s="28" t="n">
        <f aca="false">SUM(G2:G8)</f>
        <v>5</v>
      </c>
    </row>
    <row r="11" customFormat="false" ht="15" hidden="false" customHeight="true" outlineLevel="0" collapsed="false">
      <c r="A11" s="30" t="s">
        <v>287</v>
      </c>
      <c r="B11" s="30"/>
      <c r="C11" s="30"/>
      <c r="D11" s="30"/>
      <c r="E11" s="30"/>
      <c r="F11" s="30"/>
      <c r="G11" s="30"/>
    </row>
    <row r="12" customFormat="false" ht="15" hidden="false" customHeight="false" outlineLevel="0" collapsed="false">
      <c r="A12" s="30"/>
      <c r="B12" s="30"/>
      <c r="C12" s="30"/>
      <c r="D12" s="30"/>
      <c r="E12" s="30"/>
      <c r="F12" s="30"/>
      <c r="G12" s="30"/>
    </row>
    <row r="13" customFormat="false" ht="15" hidden="false" customHeight="false" outlineLevel="0" collapsed="false">
      <c r="A13" s="30"/>
      <c r="B13" s="30"/>
      <c r="C13" s="30"/>
      <c r="D13" s="30"/>
      <c r="E13" s="30"/>
      <c r="F13" s="30"/>
      <c r="G13" s="30"/>
    </row>
  </sheetData>
  <mergeCells count="1">
    <mergeCell ref="A11: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26"/>
    <col collapsed="false" customWidth="true" hidden="false" outlineLevel="0" max="4" min="4" style="1" width="60"/>
  </cols>
  <sheetData>
    <row r="1" customFormat="false" ht="51.75" hidden="false" customHeight="true" outlineLevel="0" collapsed="false">
      <c r="A1" s="31" t="s">
        <v>288</v>
      </c>
    </row>
    <row r="2" customFormat="false" ht="15" hidden="false" customHeight="true" outlineLevel="0" collapsed="false">
      <c r="A2" s="32"/>
    </row>
    <row r="3" customFormat="false" ht="15" hidden="false" customHeight="true" outlineLevel="0" collapsed="false">
      <c r="A3" s="5" t="s">
        <v>289</v>
      </c>
      <c r="B3" s="5" t="s">
        <v>290</v>
      </c>
      <c r="C3" s="5" t="s">
        <v>291</v>
      </c>
      <c r="D3" s="5" t="s">
        <v>292</v>
      </c>
    </row>
    <row r="4" customFormat="false" ht="15" hidden="false" customHeight="true" outlineLevel="0" collapsed="false">
      <c r="A4" s="33" t="s">
        <v>293</v>
      </c>
      <c r="B4" s="33" t="s">
        <v>294</v>
      </c>
      <c r="C4" s="33" t="s">
        <v>295</v>
      </c>
      <c r="D4" s="33" t="s">
        <v>296</v>
      </c>
    </row>
    <row r="5" customFormat="false" ht="15" hidden="false" customHeight="true" outlineLevel="0" collapsed="false">
      <c r="A5" s="33" t="s">
        <v>297</v>
      </c>
      <c r="B5" s="33" t="s">
        <v>298</v>
      </c>
      <c r="C5" s="33" t="s">
        <v>299</v>
      </c>
      <c r="D5" s="33" t="s">
        <v>300</v>
      </c>
    </row>
    <row r="6" customFormat="false" ht="23.25" hidden="false" customHeight="true" outlineLevel="0" collapsed="false">
      <c r="A6" s="33" t="s">
        <v>301</v>
      </c>
      <c r="B6" s="33" t="s">
        <v>302</v>
      </c>
      <c r="C6" s="33" t="s">
        <v>303</v>
      </c>
      <c r="D6" s="33" t="s">
        <v>304</v>
      </c>
    </row>
    <row r="7" customFormat="false" ht="15" hidden="false" customHeight="true" outlineLevel="0" collapsed="false">
      <c r="A7" s="32"/>
    </row>
    <row r="8" customFormat="false" ht="26.25" hidden="false" customHeight="true" outlineLevel="0" collapsed="false">
      <c r="A8" s="34" t="s">
        <v>305</v>
      </c>
    </row>
    <row r="9" customFormat="false" ht="68.25" hidden="false" customHeight="true" outlineLevel="0" collapsed="false">
      <c r="A9" s="32" t="s">
        <v>306</v>
      </c>
    </row>
    <row r="10" customFormat="false" ht="68.25" hidden="false" customHeight="true" outlineLevel="0" collapsed="false">
      <c r="A10" s="32" t="s">
        <v>307</v>
      </c>
    </row>
    <row r="11" customFormat="false" ht="68.25" hidden="false" customHeight="true" outlineLevel="0" collapsed="false">
      <c r="A11" s="32" t="s">
        <v>308</v>
      </c>
    </row>
    <row r="12" customFormat="false" ht="15" hidden="false" customHeight="true" outlineLevel="0" collapsed="false">
      <c r="A12" s="32"/>
    </row>
    <row r="13" customFormat="false" ht="15" hidden="false" customHeight="true" outlineLevel="0" collapsed="false">
      <c r="A13" s="34" t="s">
        <v>309</v>
      </c>
    </row>
    <row r="14" customFormat="false" ht="45.75" hidden="false" customHeight="true" outlineLevel="0" collapsed="false">
      <c r="A14" s="32" t="s">
        <v>310</v>
      </c>
    </row>
    <row r="15" customFormat="false" ht="68.25" hidden="false" customHeight="true" outlineLevel="0" collapsed="false">
      <c r="A15" s="32" t="s">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2"/>
    <col collapsed="false" customWidth="true" hidden="false" outlineLevel="0" max="3" min="3" style="1" width="15"/>
    <col collapsed="false" customWidth="true" hidden="false" outlineLevel="0" max="4" min="4" style="1" width="72"/>
    <col collapsed="false" customWidth="true" hidden="false" outlineLevel="0" max="5" min="5" style="1" width="22"/>
  </cols>
  <sheetData>
    <row r="1" customFormat="false" ht="15" hidden="false" customHeight="true" outlineLevel="0" collapsed="false">
      <c r="A1" s="5" t="s">
        <v>312</v>
      </c>
      <c r="B1" s="5" t="s">
        <v>313</v>
      </c>
      <c r="C1" s="5" t="s">
        <v>314</v>
      </c>
      <c r="D1" s="5" t="s">
        <v>315</v>
      </c>
      <c r="E1" s="5" t="s">
        <v>316</v>
      </c>
    </row>
    <row r="2" customFormat="false" ht="23.25" hidden="false" customHeight="true" outlineLevel="0" collapsed="false">
      <c r="A2" s="7" t="n">
        <v>1</v>
      </c>
      <c r="B2" s="35" t="s">
        <v>317</v>
      </c>
      <c r="C2" s="36" t="n">
        <v>12781</v>
      </c>
      <c r="D2" s="7" t="s">
        <v>318</v>
      </c>
      <c r="E2" s="7" t="s">
        <v>319</v>
      </c>
    </row>
    <row r="3" customFormat="false" ht="34.5" hidden="false" customHeight="true" outlineLevel="0" collapsed="false">
      <c r="A3" s="7" t="n">
        <v>2</v>
      </c>
      <c r="B3" s="35" t="s">
        <v>320</v>
      </c>
      <c r="C3" s="36" t="n">
        <v>9769</v>
      </c>
      <c r="D3" s="7" t="s">
        <v>321</v>
      </c>
      <c r="E3" s="7" t="s">
        <v>322</v>
      </c>
    </row>
    <row r="4" customFormat="false" ht="23.25" hidden="false" customHeight="true" outlineLevel="0" collapsed="false">
      <c r="A4" s="7" t="n">
        <v>3</v>
      </c>
      <c r="B4" s="35" t="s">
        <v>323</v>
      </c>
      <c r="C4" s="36" t="n">
        <v>8318</v>
      </c>
      <c r="D4" s="7" t="s">
        <v>324</v>
      </c>
      <c r="E4" s="7" t="s">
        <v>319</v>
      </c>
    </row>
    <row r="5" customFormat="false" ht="23.25" hidden="false" customHeight="true" outlineLevel="0" collapsed="false">
      <c r="A5" s="7" t="n">
        <v>4</v>
      </c>
      <c r="B5" s="35" t="s">
        <v>325</v>
      </c>
      <c r="C5" s="36" t="n">
        <v>0</v>
      </c>
      <c r="D5" s="7" t="s">
        <v>326</v>
      </c>
      <c r="E5" s="7" t="s">
        <v>327</v>
      </c>
    </row>
    <row r="6" customFormat="false" ht="23.25" hidden="false" customHeight="true" outlineLevel="0" collapsed="false">
      <c r="A6" s="7" t="n">
        <v>5</v>
      </c>
      <c r="B6" s="35" t="s">
        <v>328</v>
      </c>
      <c r="C6" s="36" t="n">
        <v>1042</v>
      </c>
      <c r="D6" s="7" t="s">
        <v>329</v>
      </c>
      <c r="E6" s="7" t="s">
        <v>319</v>
      </c>
    </row>
    <row r="7" customFormat="false" ht="23.25" hidden="false" customHeight="true" outlineLevel="0" collapsed="false">
      <c r="A7" s="7" t="n">
        <v>6</v>
      </c>
      <c r="B7" s="35" t="s">
        <v>330</v>
      </c>
      <c r="C7" s="36" t="n">
        <v>163</v>
      </c>
      <c r="D7" s="7" t="s">
        <v>331</v>
      </c>
      <c r="E7" s="7" t="s">
        <v>319</v>
      </c>
    </row>
    <row r="8" customFormat="false" ht="23.25" hidden="false" customHeight="true" outlineLevel="0" collapsed="false">
      <c r="A8" s="7" t="n">
        <v>7</v>
      </c>
      <c r="B8" s="35" t="s">
        <v>332</v>
      </c>
      <c r="C8" s="36" t="n">
        <v>3872</v>
      </c>
      <c r="D8" s="7" t="s">
        <v>333</v>
      </c>
      <c r="E8" s="7" t="s">
        <v>322</v>
      </c>
    </row>
    <row r="9" customFormat="false" ht="23.25" hidden="false" customHeight="true" outlineLevel="0" collapsed="false">
      <c r="A9" s="7" t="n">
        <v>8</v>
      </c>
      <c r="B9" s="35" t="s">
        <v>334</v>
      </c>
      <c r="C9" s="36" t="n">
        <v>2933</v>
      </c>
      <c r="D9" s="7" t="s">
        <v>335</v>
      </c>
      <c r="E9" s="7" t="s">
        <v>319</v>
      </c>
    </row>
    <row r="11" customFormat="false" ht="15" hidden="false" customHeight="true" outlineLevel="0" collapsed="false">
      <c r="B11" s="37"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2026-09-28T09:31:34Z</dcterms:created>
  <dc:creator>openpyxl</dc:creator>
  <dc:description/>
  <dc:language>en-US</dc:language>
  <cp:lastModifiedBy/>
  <dcterms:modified xsi:type="dcterms:W3CDTF">2026-09-28T09:31:56Z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